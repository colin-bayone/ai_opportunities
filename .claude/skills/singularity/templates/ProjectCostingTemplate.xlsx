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Moore.COLINMOOORE-\Downloads\"/>
    </mc:Choice>
  </mc:AlternateContent>
  <xr:revisionPtr revIDLastSave="0" documentId="8_{BE7F5219-550F-4E4C-A659-819023C391F6}" xr6:coauthVersionLast="47" xr6:coauthVersionMax="47" xr10:uidLastSave="{00000000-0000-0000-0000-000000000000}"/>
  <bookViews>
    <workbookView xWindow="-110" yWindow="-110" windowWidth="25820" windowHeight="15500" activeTab="1" xr2:uid="{07C9E8C9-EC8E-4FA3-867D-774DDC60B945}"/>
  </bookViews>
  <sheets>
    <sheet name="Instructions" sheetId="2" r:id="rId1"/>
    <sheet name="Inputs" sheetId="3" r:id="rId2"/>
    <sheet name="Scenario A" sheetId="4" r:id="rId3"/>
    <sheet name="Scenario B" sheetId="5" r:id="rId4"/>
    <sheet name="Discount Analysis" sheetId="6" r:id="rId5"/>
    <sheet name="Comparison" sheetId="7" r:id="rId6"/>
    <sheet name="Throughput" sheetId="8" r:id="rId7"/>
  </sheets>
  <definedNames>
    <definedName name="CostPerTrip">"Inputs!$B$36"</definedName>
    <definedName name="HoursPerMonth">"Inputs!$B$20"</definedName>
    <definedName name="HoursPerUnit">"Inputs!$B$26"</definedName>
    <definedName name="MonthlyTools">"Inputs!$B$43"</definedName>
    <definedName name="OneTimeEquip">"Inputs!$B$44"</definedName>
    <definedName name="POCCost">"Inputs!$B$32"</definedName>
    <definedName name="Revenue">"Inputs!$B$24"</definedName>
    <definedName name="RiskReserve">"Inputs!$B$28"</definedName>
    <definedName name="ScA_DevMonths">"Inputs!$B$58"</definedName>
    <definedName name="ScA_Floor">"Inputs!$B$49"</definedName>
    <definedName name="ScA_OffDev">"Inputs!$B$56"</definedName>
    <definedName name="ScA_OffStab">"Inputs!$B$57"</definedName>
    <definedName name="ScA_StabMonths">"Inputs!$B$59"</definedName>
    <definedName name="ScA_Target">"Inputs!$B$48"</definedName>
    <definedName name="ScA_TotalPostPOC">"Inputs!$B$60"</definedName>
    <definedName name="ScB_DevMonths">"Inputs!$C$58"</definedName>
    <definedName name="ScB_Floor">"Inputs!$B$51"</definedName>
    <definedName name="ScB_OffDev">"Inputs!$C$56"</definedName>
    <definedName name="ScB_OffStab">"Inputs!$C$57"</definedName>
    <definedName name="ScB_StabMonths">"Inputs!$C$59"</definedName>
    <definedName name="ScB_Target">"Inputs!$B$50"</definedName>
    <definedName name="ScB_TotalPostPOC">"Inputs!$C$60"</definedName>
    <definedName name="TotalHours">"Inputs!$B$27"</definedName>
    <definedName name="TotalScreens">"Inputs!$B$25"</definedName>
    <definedName name="TotalUnits">"Inputs!$B$25"</definedName>
    <definedName name="TripsA">"Inputs!$B$37"</definedName>
    <definedName name="TripsB">"Inputs!$B$38"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8" l="1"/>
  <c r="B23" i="8"/>
  <c r="B22" i="8"/>
  <c r="B21" i="8"/>
  <c r="B20" i="8"/>
  <c r="B19" i="8"/>
  <c r="B15" i="8"/>
  <c r="B14" i="8"/>
  <c r="B13" i="8"/>
  <c r="B12" i="8"/>
  <c r="B11" i="8"/>
  <c r="B10" i="8"/>
  <c r="B6" i="8"/>
  <c r="B5" i="8"/>
  <c r="B4" i="8"/>
  <c r="D15" i="7"/>
  <c r="D14" i="7"/>
  <c r="D13" i="7"/>
  <c r="D12" i="7"/>
  <c r="D11" i="7"/>
  <c r="D10" i="7"/>
  <c r="D9" i="7"/>
  <c r="D8" i="7"/>
  <c r="D7" i="7"/>
  <c r="D6" i="7"/>
  <c r="D5" i="7"/>
  <c r="D4" i="7"/>
  <c r="C15" i="7"/>
  <c r="C14" i="7"/>
  <c r="C13" i="7"/>
  <c r="C12" i="7"/>
  <c r="C11" i="7"/>
  <c r="C10" i="7"/>
  <c r="C9" i="7"/>
  <c r="C8" i="7"/>
  <c r="C7" i="7"/>
  <c r="C6" i="7"/>
  <c r="C5" i="7"/>
  <c r="C4" i="7"/>
  <c r="B15" i="7"/>
  <c r="B14" i="7"/>
  <c r="B13" i="7"/>
  <c r="B12" i="7"/>
  <c r="B11" i="7"/>
  <c r="B10" i="7"/>
  <c r="B9" i="7"/>
  <c r="B8" i="7"/>
  <c r="B7" i="7"/>
  <c r="B6" i="7"/>
  <c r="B5" i="7"/>
  <c r="B4" i="7"/>
  <c r="B20" i="6"/>
  <c r="B19" i="6"/>
  <c r="B18" i="6"/>
  <c r="B17" i="6"/>
  <c r="G13" i="6"/>
  <c r="F13" i="6"/>
  <c r="E13" i="6"/>
  <c r="D13" i="6"/>
  <c r="C13" i="6"/>
  <c r="A13" i="6"/>
  <c r="G12" i="6"/>
  <c r="F12" i="6"/>
  <c r="E12" i="6"/>
  <c r="D12" i="6"/>
  <c r="C12" i="6"/>
  <c r="A12" i="6"/>
  <c r="G11" i="6"/>
  <c r="F11" i="6"/>
  <c r="E11" i="6"/>
  <c r="D11" i="6"/>
  <c r="C11" i="6"/>
  <c r="A11" i="6"/>
  <c r="G10" i="6"/>
  <c r="F10" i="6"/>
  <c r="E10" i="6"/>
  <c r="D10" i="6"/>
  <c r="C10" i="6"/>
  <c r="A10" i="6"/>
  <c r="G9" i="6"/>
  <c r="F9" i="6"/>
  <c r="E9" i="6"/>
  <c r="D9" i="6"/>
  <c r="C9" i="6"/>
  <c r="A9" i="6"/>
  <c r="G8" i="6"/>
  <c r="F8" i="6"/>
  <c r="E8" i="6"/>
  <c r="D8" i="6"/>
  <c r="C8" i="6"/>
  <c r="A8" i="6"/>
  <c r="G7" i="6"/>
  <c r="F7" i="6"/>
  <c r="E7" i="6"/>
  <c r="D7" i="6"/>
  <c r="C7" i="6"/>
  <c r="A7" i="6"/>
  <c r="B4" i="6"/>
  <c r="B3" i="6"/>
  <c r="B42" i="5"/>
  <c r="B41" i="5"/>
  <c r="B40" i="5"/>
  <c r="B39" i="5"/>
  <c r="B35" i="5"/>
  <c r="B34" i="5"/>
  <c r="B33" i="5"/>
  <c r="B32" i="5"/>
  <c r="B28" i="5"/>
  <c r="B27" i="5"/>
  <c r="B25" i="5"/>
  <c r="B24" i="5"/>
  <c r="B23" i="5"/>
  <c r="B22" i="5"/>
  <c r="B20" i="5"/>
  <c r="B19" i="5"/>
  <c r="B18" i="5"/>
  <c r="B17" i="5"/>
  <c r="B16" i="5"/>
  <c r="B15" i="5"/>
  <c r="B14" i="5"/>
  <c r="I10" i="5"/>
  <c r="H10" i="5"/>
  <c r="G10" i="5"/>
  <c r="F10" i="5"/>
  <c r="E10" i="5"/>
  <c r="D10" i="5"/>
  <c r="C10" i="5"/>
  <c r="B10" i="5"/>
  <c r="J9" i="5"/>
  <c r="I9" i="5"/>
  <c r="H9" i="5"/>
  <c r="G9" i="5"/>
  <c r="F9" i="5"/>
  <c r="E9" i="5"/>
  <c r="D9" i="5"/>
  <c r="C9" i="5"/>
  <c r="B9" i="5"/>
  <c r="J8" i="5"/>
  <c r="I8" i="5"/>
  <c r="H8" i="5"/>
  <c r="J7" i="5"/>
  <c r="G7" i="5"/>
  <c r="F7" i="5"/>
  <c r="E7" i="5"/>
  <c r="D7" i="5"/>
  <c r="C7" i="5"/>
  <c r="J6" i="5"/>
  <c r="I6" i="5"/>
  <c r="H6" i="5"/>
  <c r="G6" i="5"/>
  <c r="F6" i="5"/>
  <c r="E6" i="5"/>
  <c r="D6" i="5"/>
  <c r="C6" i="5"/>
  <c r="J5" i="5"/>
  <c r="I5" i="5"/>
  <c r="H5" i="5"/>
  <c r="G5" i="5"/>
  <c r="F5" i="5"/>
  <c r="E5" i="5"/>
  <c r="D5" i="5"/>
  <c r="C5" i="5"/>
  <c r="B5" i="5"/>
  <c r="A2" i="5"/>
  <c r="A1" i="5"/>
  <c r="B40" i="4"/>
  <c r="B39" i="4"/>
  <c r="B34" i="4"/>
  <c r="B33" i="4"/>
  <c r="B32" i="4"/>
  <c r="B28" i="4"/>
  <c r="B27" i="4"/>
  <c r="B19" i="4"/>
  <c r="B17" i="4"/>
  <c r="B16" i="4"/>
  <c r="B14" i="4"/>
  <c r="B5" i="4"/>
  <c r="E8" i="4"/>
  <c r="D7" i="4"/>
  <c r="C7" i="4"/>
  <c r="C9" i="4"/>
  <c r="E9" i="4"/>
  <c r="D9" i="4"/>
  <c r="B10" i="4"/>
  <c r="B9" i="4"/>
  <c r="F6" i="4"/>
  <c r="E6" i="4"/>
  <c r="D6" i="4"/>
  <c r="C6" i="4"/>
  <c r="F5" i="4"/>
  <c r="E5" i="4"/>
  <c r="D5" i="4"/>
  <c r="C5" i="4"/>
  <c r="A2" i="4"/>
  <c r="A1" i="4"/>
  <c r="C60" i="3"/>
  <c r="B60" i="3"/>
  <c r="B32" i="3"/>
  <c r="B27" i="3"/>
  <c r="F15" i="3"/>
  <c r="H15" i="3" s="1"/>
  <c r="E15" i="3"/>
  <c r="F14" i="3"/>
  <c r="H14" i="3" s="1"/>
  <c r="E14" i="3"/>
  <c r="H13" i="3"/>
  <c r="F13" i="3"/>
  <c r="E13" i="3"/>
  <c r="F12" i="3"/>
  <c r="H12" i="3" s="1"/>
  <c r="E12" i="3"/>
  <c r="F11" i="3"/>
  <c r="H11" i="3" s="1"/>
  <c r="E11" i="3"/>
  <c r="F8" i="4" l="1"/>
  <c r="B41" i="4"/>
  <c r="C10" i="4"/>
  <c r="D10" i="4" s="1"/>
  <c r="E10" i="4" s="1"/>
  <c r="F7" i="4"/>
  <c r="F9" i="4" s="1"/>
  <c r="B15" i="4" l="1"/>
  <c r="B18" i="4" s="1"/>
  <c r="B42" i="4"/>
  <c r="B24" i="4" l="1"/>
  <c r="B25" i="4" s="1"/>
  <c r="B20" i="4"/>
  <c r="B35" i="4" l="1"/>
  <c r="B22" i="4"/>
  <c r="B2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tc={77BBDBCE-CA2B-4166-B6AA-E4F6F6C5DAFD}</author>
  </authors>
  <commentList>
    <comment ref="B20" authorId="0" shapeId="0" xr:uid="{77BBDBCE-CA2B-4166-B6AA-E4F6F6C5DA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Standard: 173.33 (52w × 40h / 12). Adjust to 160-168 for realistic availability after holidays/PTO.</t>
      </text>
    </comment>
  </commentList>
</comments>
</file>

<file path=xl/sharedStrings.xml><?xml version="1.0" encoding="utf-8"?>
<sst xmlns="http://schemas.openxmlformats.org/spreadsheetml/2006/main" count="212" uniqueCount="149">
  <si>
    <t>PROJECT COSTING WORKBOOK</t>
  </si>
  <si>
    <t>BayOne Solutions — Outcome-Based Engagement Pricing</t>
  </si>
  <si>
    <t>PURPOSE</t>
  </si>
  <si>
    <t>This workbook models the internal cost of delivering an outcome-based consulting engagement. It helps you determine whether a quoted price supports your target margin at a given team structure and timeline.
It models two delivery scenarios (shorter vs. longer timeline) and a discount sensitivity analysis for the longer-timeline option.</t>
  </si>
  <si>
    <t>HOW TO USE</t>
  </si>
  <si>
    <t>1. Start on the INPUTS tab. Fill in your project details, personnel rates, and scenario parameters.
2. The SCENARIO A and SCENARIO B tabs auto-calculate based on your inputs.
3. Use the DISCOUNT ANALYSIS tab to see how much room you have to negotiate on price.
4. The COMPARISON tab gives you a side-by-side view of all scenarios.
5. The THROUGHPUT tab validates whether your team can actually deliver the scope in the timeline.</t>
  </si>
  <si>
    <t>KEY CONCEPTS</t>
  </si>
  <si>
    <t xml:space="preserve">  Allocation %
  This is a COST ALLOCATION mechanism, not a productivity measure. If a person is 50% allocated, it means 50% of their cost is charged to this project. The other 50% is charged elsewhere. The person still works full-time. Allocation splits cost across projects.</t>
  </si>
  <si>
    <t xml:space="preserve">  Rate Type (Annual vs. Hourly)
  Each resource is either salaried (Annual) or contracted (Hourly). This determines how the Loaded Monthly cost is calculated:
    - Annual: Loaded Annual / 12
    - Hourly: Loaded Hourly × Working Hours per Month</t>
  </si>
  <si>
    <t xml:space="preserve">  Risk Reserve
  A percentage buffer added on top of base cost to account for scope creep, technical complexity, and unknowns. This is not a guaranteed spend. It sits inside the gross margin as protection. If nothing goes wrong, the risk reserve becomes additional margin.</t>
  </si>
  <si>
    <t xml:space="preserve">  Stabilization &amp; Acceptance
  The final phase of each scenario. This is NOT a separate QA phase. Development is agile and testing happens throughout. This buffer covers production-level validation after client integration, bug fixes, stakeholder demos, and final acceptance.</t>
  </si>
  <si>
    <t xml:space="preserve">  Base Cost vs. Loaded Cost
    - Base Cost = Personnel + Travel + Hardware/Consumables (what you expect to spend)
    - Loaded Cost = Base Cost + Risk Reserve (worst-case budget)
    - Margin on Base = best case (if risk doesn't materialize)
    - Margin on Loaded = worst case (if full risk reserve is consumed)</t>
  </si>
  <si>
    <t>EDITABLE FIELDS</t>
  </si>
  <si>
    <t xml:space="preserve">  Cells with a LIGHT YELLOW background are user-editable inputs.
  All other cells contain formulas. Do not overwrite formula cells.</t>
  </si>
  <si>
    <t>ADDING RESOURCES</t>
  </si>
  <si>
    <t xml:space="preserve">  To add a new resource, insert a row in the Personnel Rates table on the Inputs tab.
  Set the Rate Type to Annual or Hourly. The formulas will handle the rest.
  Then add a corresponding row on each Scenario tab.</t>
  </si>
  <si>
    <t>SAMPLE DATA</t>
  </si>
  <si>
    <t xml:space="preserve">  This workbook ships with sample data for a fictional engagement. Clear the sample data on the Inputs tab and replace with your project details. All scenario tabs will update automatically.</t>
  </si>
  <si>
    <t>Project Details</t>
  </si>
  <si>
    <t>Project Name</t>
  </si>
  <si>
    <t>Acme Corp Platform Migration</t>
  </si>
  <si>
    <t>Client</t>
  </si>
  <si>
    <t>Acme Corporation</t>
  </si>
  <si>
    <t>Engagement Type</t>
  </si>
  <si>
    <t>Legacy Platform Conversion</t>
  </si>
  <si>
    <t>Deliverable</t>
  </si>
  <si>
    <t>120 screens, full-stack (UI + backend)</t>
  </si>
  <si>
    <t>Pricing Model</t>
  </si>
  <si>
    <t>Outcome-based, fixed price</t>
  </si>
  <si>
    <t>Personnel Rates</t>
  </si>
  <si>
    <t>Resource</t>
  </si>
  <si>
    <t>Rate Type</t>
  </si>
  <si>
    <t>Base Rate</t>
  </si>
  <si>
    <t>Load Factor</t>
  </si>
  <si>
    <t>Loaded Rate</t>
  </si>
  <si>
    <t>Loaded Monthly</t>
  </si>
  <si>
    <t>Allocation %</t>
  </si>
  <si>
    <t>Effective Monthly</t>
  </si>
  <si>
    <t>Project Lead</t>
  </si>
  <si>
    <t>Senior Engineer (US)</t>
  </si>
  <si>
    <t>Offshore Engineer 1</t>
  </si>
  <si>
    <t>Offshore Engineer 2</t>
  </si>
  <si>
    <t>Offshore Engineer 3</t>
  </si>
  <si>
    <t>Annual</t>
  </si>
  <si>
    <t>Hourly</t>
  </si>
  <si>
    <t>Constants</t>
  </si>
  <si>
    <t>Load Factor (default)</t>
  </si>
  <si>
    <t>Working Hours per Month</t>
  </si>
  <si>
    <t>Engagement Parameters</t>
  </si>
  <si>
    <t>Revenue</t>
  </si>
  <si>
    <t>Total Deliverable Units (screens, modules, etc.)</t>
  </si>
  <si>
    <t>Hours per Unit (estimated, with tooling)</t>
  </si>
  <si>
    <t>Total Delivery Hours</t>
  </si>
  <si>
    <t>Risk Reserve %</t>
  </si>
  <si>
    <t>POC Duration (months)</t>
  </si>
  <si>
    <t>POC Resource</t>
  </si>
  <si>
    <t>POC Hours</t>
  </si>
  <si>
    <t>POC Cost (absorbed)</t>
  </si>
  <si>
    <t>Travel &amp; Expenses</t>
  </si>
  <si>
    <t>Cost per Trip</t>
  </si>
  <si>
    <t>Trips (Scenario A)</t>
  </si>
  <si>
    <t>Trips (Scenario B)</t>
  </si>
  <si>
    <t>Travel Destination</t>
  </si>
  <si>
    <t>Client HQ</t>
  </si>
  <si>
    <t>Hardware &amp; Consumables</t>
  </si>
  <si>
    <t>Monthly Tools &amp; Subscriptions</t>
  </si>
  <si>
    <t>One-Time Equipment</t>
  </si>
  <si>
    <t>Margin Thresholds</t>
  </si>
  <si>
    <t>Scenario A Target (ideal)</t>
  </si>
  <si>
    <t>Scenario A Floor</t>
  </si>
  <si>
    <t>Scenario B Target (ideal)</t>
  </si>
  <si>
    <t>Scenario B Floor (minimum acceptable)</t>
  </si>
  <si>
    <t>Scenario Parameters</t>
  </si>
  <si>
    <t>Scenario A</t>
  </si>
  <si>
    <t>Scenario B</t>
  </si>
  <si>
    <t>Scenario Label</t>
  </si>
  <si>
    <t>Offshore Engineers (dev phase)</t>
  </si>
  <si>
    <t>Offshore Engineers (stabilization)</t>
  </si>
  <si>
    <t>Dev Months (post-POC)</t>
  </si>
  <si>
    <t>Stabilization &amp; Acceptance Months</t>
  </si>
  <si>
    <t>Total Post-POC Months</t>
  </si>
  <si>
    <t>Q3 Delivery</t>
  </si>
  <si>
    <t>Q4 Delivery</t>
  </si>
  <si>
    <t>Month 1 (POC)</t>
  </si>
  <si>
    <t>Month 2</t>
  </si>
  <si>
    <t>Month 3</t>
  </si>
  <si>
    <t>Month 4 (Stab.)</t>
  </si>
  <si>
    <t>Total</t>
  </si>
  <si>
    <t>Offshore Engineers (dev)</t>
  </si>
  <si>
    <t>Offshore Engineers (stab.)</t>
  </si>
  <si>
    <t>Personnel Total</t>
  </si>
  <si>
    <t>Cumulative</t>
  </si>
  <si>
    <t>Financial Summary</t>
  </si>
  <si>
    <t>Personnel Cost</t>
  </si>
  <si>
    <t>Base Cost</t>
  </si>
  <si>
    <t>Risk Reserve</t>
  </si>
  <si>
    <t>Loaded Cost</t>
  </si>
  <si>
    <t>Margin on Loaded Cost ($)</t>
  </si>
  <si>
    <t>Margin on Loaded Cost (%)</t>
  </si>
  <si>
    <t>Margin on Base Cost ($)</t>
  </si>
  <si>
    <t>Margin on Base Cost (%)</t>
  </si>
  <si>
    <t>Above Floor? (loaded)</t>
  </si>
  <si>
    <t>Above Floor? (base)</t>
  </si>
  <si>
    <t>Per-Unit Economics</t>
  </si>
  <si>
    <t>Cost per Unit (base)</t>
  </si>
  <si>
    <t>Cost per Unit (loaded)</t>
  </si>
  <si>
    <t>Revenue per Unit</t>
  </si>
  <si>
    <t>Margin per Unit</t>
  </si>
  <si>
    <t>Staffing Summary</t>
  </si>
  <si>
    <t>Total Duration (months)</t>
  </si>
  <si>
    <t>Peak Headcount</t>
  </si>
  <si>
    <t>Peak Monthly Burn</t>
  </si>
  <si>
    <t>Avg Monthly Burn</t>
  </si>
  <si>
    <t>Month 4</t>
  </si>
  <si>
    <t>Month 5</t>
  </si>
  <si>
    <t>Month 6</t>
  </si>
  <si>
    <t>Month 7 (Stab.)</t>
  </si>
  <si>
    <t>Month 8 (Stab.)</t>
  </si>
  <si>
    <t>Discount Sensitivity — Scenario B Timeline Only</t>
  </si>
  <si>
    <t>Base Cost (from Scenario B):</t>
  </si>
  <si>
    <t>Loaded Cost (from Scenario B):</t>
  </si>
  <si>
    <t>Price</t>
  </si>
  <si>
    <t>Discount %</t>
  </si>
  <si>
    <t>Margin $ (loaded)</t>
  </si>
  <si>
    <t>Margin % (loaded)</t>
  </si>
  <si>
    <t>Margin $ (base)</t>
  </si>
  <si>
    <t>Margin % (base)</t>
  </si>
  <si>
    <t>Verdict</t>
  </si>
  <si>
    <t>Floor Prices</t>
  </si>
  <si>
    <t>Floor at margin target (loaded)</t>
  </si>
  <si>
    <t>Max discount % (loaded)</t>
  </si>
  <si>
    <t>Floor at margin target (base)</t>
  </si>
  <si>
    <t>Max discount % (base)</t>
  </si>
  <si>
    <t>Scenario Comparison Dashboard</t>
  </si>
  <si>
    <t>Metric</t>
  </si>
  <si>
    <t>Discount (floor)</t>
  </si>
  <si>
    <t>Duration (months)</t>
  </si>
  <si>
    <t>Delivery Throughput Validation</t>
  </si>
  <si>
    <t>Delivery Requirements</t>
  </si>
  <si>
    <t>Total Deliverable Units</t>
  </si>
  <si>
    <t>Hours per Unit</t>
  </si>
  <si>
    <t>Total Hours Needed</t>
  </si>
  <si>
    <t>Scenario A Capacity</t>
  </si>
  <si>
    <t>Hours per Month per Engineer</t>
  </si>
  <si>
    <t>Dev Months</t>
  </si>
  <si>
    <t>Total Available Dev Hours</t>
  </si>
  <si>
    <t>Units Possible</t>
  </si>
  <si>
    <t>Utilization %</t>
  </si>
  <si>
    <t>Scenario B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</si>
</sst>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%"/>
  </numFmts>
  <fonts count="12" x14ac:knownFonts="1">
    <font>
      <sz val="11"/>
      <color theme="1"/>
      <name val="Aptos Narrow"/>
      <family val="2"/>
      <scheme val="minor"/>
    </font>
    <font>
      <b/>
      <sz val="16"/>
      <color theme="1"/>
      <name val="Calibri"/>
    </font>
    <font>
      <sz val="12"/>
      <color rgb="FF5B21B6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2"/>
      <color rgb="FFFFFFFF"/>
      <name val="Aptos Narrow"/>
      <family val="2"/>
      <scheme val="minor"/>
    </font>
    <font>
      <b/>
      <sz val="11"/>
      <color theme="1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b/>
      <sz val="14"/>
      <color rgb="FFFFFFFF"/>
      <name val="Aptos Narrow"/>
      <family val="2"/>
      <scheme val="minor"/>
    </font>
    <font>
      <i/>
      <sz val="10"/>
      <color rgb="FF6B7280"/>
      <name val="Aptos Narrow"/>
      <family val="2"/>
      <scheme val="minor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5B21B6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2E1065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92400E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/>
    <xf numFmtId="0" fontId="4" fillId="3" borderId="1" xfId="0" applyFont="1" applyFill="1" applyBorder="1"/>
    <xf numFmtId="0" fontId="7" fillId="4" borderId="1" xfId="0" applyFont="1" applyFill="1" applyBorder="1"/>
    <xf numFmtId="164" fontId="4" fillId="3" borderId="1" xfId="0" applyNumberFormat="1" applyFont="1" applyFill="1" applyBorder="1"/>
    <xf numFmtId="2" fontId="4" fillId="3" borderId="1" xfId="0" applyNumberFormat="1" applyFont="1" applyFill="1" applyBorder="1"/>
    <xf numFmtId="164" fontId="4" fillId="5" borderId="1" xfId="0" applyNumberFormat="1" applyFont="1" applyFill="1" applyBorder="1"/>
    <xf numFmtId="9" fontId="4" fillId="3" borderId="1" xfId="0" applyNumberFormat="1" applyFont="1" applyFill="1" applyBorder="1"/>
    <xf numFmtId="165" fontId="4" fillId="3" borderId="1" xfId="0" applyNumberFormat="1" applyFont="1" applyFill="1" applyBorder="1"/>
    <xf numFmtId="165" fontId="4" fillId="5" borderId="1" xfId="0" applyNumberFormat="1" applyFont="1" applyFill="1" applyBorder="1"/>
    <xf numFmtId="2" fontId="4" fillId="5" borderId="1" xfId="0" applyNumberFormat="1" applyFont="1" applyFill="1" applyBorder="1"/>
    <xf numFmtId="164" fontId="4" fillId="0" borderId="0" xfId="0" applyNumberFormat="1" applyFont="1"/>
    <xf numFmtId="1" fontId="4" fillId="3" borderId="1" xfId="0" applyNumberFormat="1" applyFont="1" applyFill="1" applyBorder="1"/>
    <xf numFmtId="1" fontId="4" fillId="5" borderId="1" xfId="0" applyNumberFormat="1" applyFont="1" applyFill="1" applyBorder="1"/>
    <xf numFmtId="166" fontId="4" fillId="3" borderId="1" xfId="0" applyNumberFormat="1" applyFont="1" applyFill="1" applyBorder="1"/>
    <xf numFmtId="0" fontId="7" fillId="3" borderId="1" xfId="0" applyFont="1" applyFill="1" applyBorder="1"/>
    <xf numFmtId="0" fontId="8" fillId="4" borderId="1" xfId="0" applyFont="1" applyFill="1" applyBorder="1"/>
    <xf numFmtId="0" fontId="8" fillId="0" borderId="0" xfId="0" applyFont="1"/>
    <xf numFmtId="164" fontId="6" fillId="5" borderId="1" xfId="0" applyNumberFormat="1" applyFont="1" applyFill="1" applyBorder="1"/>
    <xf numFmtId="0" fontId="6" fillId="7" borderId="1" xfId="0" applyFont="1" applyFill="1" applyBorder="1"/>
    <xf numFmtId="0" fontId="8" fillId="0" borderId="1" xfId="0" applyFont="1" applyBorder="1"/>
    <xf numFmtId="0" fontId="6" fillId="0" borderId="1" xfId="0" applyFont="1" applyBorder="1"/>
    <xf numFmtId="0" fontId="4" fillId="5" borderId="1" xfId="0" applyFont="1" applyFill="1" applyBorder="1"/>
    <xf numFmtId="166" fontId="4" fillId="5" borderId="1" xfId="0" applyNumberFormat="1" applyFont="1" applyFill="1" applyBorder="1"/>
    <xf numFmtId="164" fontId="4" fillId="7" borderId="1" xfId="0" applyNumberFormat="1" applyFont="1" applyFill="1" applyBorder="1"/>
    <xf numFmtId="0" fontId="11" fillId="8" borderId="1" xfId="0" applyFont="1" applyFill="1" applyBorder="1"/>
    <xf numFmtId="0" fontId="11" fillId="9" borderId="1" xfId="0" applyFont="1" applyFill="1" applyBorder="1"/>
    <xf numFmtId="0" fontId="6" fillId="4" borderId="1" xfId="0" applyFont="1" applyFill="1" applyBorder="1"/>
    <xf numFmtId="0" fontId="4" fillId="7" borderId="1" xfId="0" applyFont="1" applyFill="1" applyBorder="1"/>
    <xf numFmtId="0" fontId="11" fillId="10" borderId="1" xfId="0" applyFont="1" applyFill="1" applyBorder="1"/>
    <xf numFmtId="3" fontId="4" fillId="5" borderId="1" xfId="0" applyNumberFormat="1" applyFont="1" applyFill="1" applyBorder="1"/>
    <xf numFmtId="3" fontId="6" fillId="5" borderId="1" xfId="0" applyNumberFormat="1" applyFont="1" applyFill="1" applyBorder="1"/>
    <xf numFmtId="166" fontId="6" fillId="5" borderId="1" xfId="0" applyNumberFormat="1" applyFont="1" applyFill="1" applyBorder="1"/>
    <xf numFmtId="0" fontId="5" fillId="2" borderId="1" xfId="0" applyFont="1" applyFill="1" applyBorder="1"/>
    <xf numFmtId="0" fontId="9" fillId="6" borderId="0" xfId="0" applyFont="1" applyFill="1"/>
    <xf numFmtId="0" fontId="10" fillId="0" borderId="0" xfId="0" applyFont="1"/>
    <xf numFmtId="0" fontId="5" fillId="2" borderId="0" xfId="0" applyFont="1" applyFill="1"/>
    <xf numFmtId="0" fontId="5" fillId="8" borderId="1" xfId="0" applyFont="1" applyFill="1" applyBorder="1"/>
    <xf numFmtId="0" fontId="5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lin Moore" id="{566DFC61-5272-480C-B9FB-4E3A338E03E5}" userId="S::cmoore@bayone.com::033e9be1-9403-4519-8f48-67449dc4858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6-03-28T07:22:56.77" personId="{566DFC61-5272-480C-B9FB-4E3A338E03E5}" id="{77BBDBCE-CA2B-4166-B6AA-E4F6F6C5DAFD}">
    <text>Standard: 173.33 (52w × 40h / 12). Adjust to 160-168 for realistic availability after holidays/PTO.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DDD415-7A5B-4C6A-83BA-2260A893A78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6DFE-E356-498F-A4FA-E6CBC94306D6}">
  <sheetPr>
    <tabColor rgb="FFE2E8F0"/>
  </sheetPr>
  <dimension ref="A1:A24"/>
  <sheetViews>
    <sheetView workbookViewId="0"/>
  </sheetViews>
  <sheetFormatPr defaultRowHeight="14.5" x14ac:dyDescent="0.35"/>
  <cols>
    <col min="1" max="1" width="127.26953125" customWidth="1"/>
  </cols>
  <sheetData>
    <row r="1" spans="1:1" ht="21" x14ac:dyDescent="0.35">
      <c r="A1" s="2" t="s">
        <v>0</v>
      </c>
    </row>
    <row r="2" spans="1:1" ht="15.5" x14ac:dyDescent="0.35">
      <c r="A2" s="3" t="s">
        <v>1</v>
      </c>
    </row>
    <row r="3" spans="1:1" x14ac:dyDescent="0.35">
      <c r="A3" s="4"/>
    </row>
    <row r="4" spans="1:1" ht="15.5" x14ac:dyDescent="0.35">
      <c r="A4" s="5" t="s">
        <v>2</v>
      </c>
    </row>
    <row r="5" spans="1:1" ht="60" customHeight="1" x14ac:dyDescent="0.35">
      <c r="A5" s="6" t="s">
        <v>3</v>
      </c>
    </row>
    <row r="6" spans="1:1" x14ac:dyDescent="0.35">
      <c r="A6" s="4"/>
    </row>
    <row r="7" spans="1:1" ht="15.5" x14ac:dyDescent="0.35">
      <c r="A7" s="5" t="s">
        <v>4</v>
      </c>
    </row>
    <row r="8" spans="1:1" ht="85" customHeight="1" x14ac:dyDescent="0.35">
      <c r="A8" s="6" t="s">
        <v>5</v>
      </c>
    </row>
    <row r="9" spans="1:1" x14ac:dyDescent="0.35">
      <c r="A9" s="4"/>
    </row>
    <row r="10" spans="1:1" ht="15.5" x14ac:dyDescent="0.35">
      <c r="A10" s="5" t="s">
        <v>6</v>
      </c>
    </row>
    <row r="11" spans="1:1" ht="55" customHeight="1" x14ac:dyDescent="0.35">
      <c r="A11" s="6" t="s">
        <v>7</v>
      </c>
    </row>
    <row r="12" spans="1:1" ht="70" customHeight="1" x14ac:dyDescent="0.35">
      <c r="A12" s="6" t="s">
        <v>8</v>
      </c>
    </row>
    <row r="13" spans="1:1" ht="55" customHeight="1" x14ac:dyDescent="0.35">
      <c r="A13" s="6" t="s">
        <v>9</v>
      </c>
    </row>
    <row r="14" spans="1:1" ht="55" customHeight="1" x14ac:dyDescent="0.35">
      <c r="A14" s="6" t="s">
        <v>10</v>
      </c>
    </row>
    <row r="15" spans="1:1" ht="70" customHeight="1" x14ac:dyDescent="0.35">
      <c r="A15" s="6" t="s">
        <v>11</v>
      </c>
    </row>
    <row r="16" spans="1:1" x14ac:dyDescent="0.35">
      <c r="A16" s="4"/>
    </row>
    <row r="17" spans="1:1" ht="15.5" x14ac:dyDescent="0.35">
      <c r="A17" s="5" t="s">
        <v>12</v>
      </c>
    </row>
    <row r="18" spans="1:1" ht="40" customHeight="1" x14ac:dyDescent="0.35">
      <c r="A18" s="6" t="s">
        <v>13</v>
      </c>
    </row>
    <row r="19" spans="1:1" x14ac:dyDescent="0.35">
      <c r="A19" s="4"/>
    </row>
    <row r="20" spans="1:1" ht="15.5" x14ac:dyDescent="0.35">
      <c r="A20" s="5" t="s">
        <v>14</v>
      </c>
    </row>
    <row r="21" spans="1:1" ht="55" customHeight="1" x14ac:dyDescent="0.35">
      <c r="A21" s="6" t="s">
        <v>15</v>
      </c>
    </row>
    <row r="22" spans="1:1" x14ac:dyDescent="0.35">
      <c r="A22" s="4"/>
    </row>
    <row r="23" spans="1:1" ht="15.5" x14ac:dyDescent="0.35">
      <c r="A23" s="5" t="s">
        <v>16</v>
      </c>
    </row>
    <row r="24" spans="1:1" ht="35" customHeight="1" x14ac:dyDescent="0.35">
      <c r="A24" s="6" t="s">
        <v>17</v>
      </c>
    </row>
  </sheetData>
  <pageMargins left="0.5" right="0.5" top="0.5" bottom="0.5" header="0.25" footer="0.25"/>
  <pageSetup paperSize="0" scale="0" orientation="landscape" horizontalDpi="0" verticalDpi="0" copies="0"/>
  <headerFooter>
    <oddHeader>&amp;LBayOne Solutions — Confidential&amp;C&amp;A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00EC-E198-4FC7-9C7B-757C009B1F02}">
  <sheetPr>
    <tabColor rgb="FF5B21B6"/>
  </sheetPr>
  <dimension ref="A1:H60"/>
  <sheetViews>
    <sheetView tabSelected="1" workbookViewId="0">
      <selection activeCell="E24" sqref="E24"/>
    </sheetView>
  </sheetViews>
  <sheetFormatPr defaultRowHeight="14.5" x14ac:dyDescent="0.35"/>
  <cols>
    <col min="1" max="1" width="50.90625" customWidth="1"/>
    <col min="2" max="2" width="31.81640625" bestFit="1" customWidth="1"/>
    <col min="3" max="3" width="20" customWidth="1"/>
    <col min="4" max="4" width="17.26953125" customWidth="1"/>
    <col min="5" max="5" width="21.81640625" customWidth="1"/>
    <col min="6" max="6" width="23.6328125" customWidth="1"/>
    <col min="7" max="7" width="17.26953125" customWidth="1"/>
    <col min="8" max="8" width="23.6328125" customWidth="1"/>
  </cols>
  <sheetData>
    <row r="1" spans="1:8" ht="16" x14ac:dyDescent="0.4">
      <c r="A1" s="39" t="s">
        <v>18</v>
      </c>
      <c r="B1" s="39"/>
      <c r="C1" s="1"/>
      <c r="D1" s="1"/>
      <c r="E1" s="1"/>
      <c r="F1" s="1"/>
      <c r="G1" s="1"/>
      <c r="H1" s="1"/>
    </row>
    <row r="2" spans="1:8" x14ac:dyDescent="0.35">
      <c r="A2" s="7" t="s">
        <v>19</v>
      </c>
      <c r="B2" s="8" t="s">
        <v>20</v>
      </c>
      <c r="C2" s="1"/>
      <c r="D2" s="1"/>
      <c r="E2" s="1"/>
      <c r="F2" s="1"/>
      <c r="G2" s="1"/>
      <c r="H2" s="1"/>
    </row>
    <row r="3" spans="1:8" x14ac:dyDescent="0.35">
      <c r="A3" s="7" t="s">
        <v>21</v>
      </c>
      <c r="B3" s="8" t="s">
        <v>22</v>
      </c>
      <c r="C3" s="1"/>
      <c r="D3" s="1"/>
      <c r="E3" s="1"/>
      <c r="F3" s="1"/>
      <c r="G3" s="1"/>
      <c r="H3" s="1"/>
    </row>
    <row r="4" spans="1:8" x14ac:dyDescent="0.35">
      <c r="A4" s="7" t="s">
        <v>23</v>
      </c>
      <c r="B4" s="8" t="s">
        <v>24</v>
      </c>
      <c r="C4" s="1"/>
      <c r="D4" s="1"/>
      <c r="E4" s="1"/>
      <c r="F4" s="1"/>
      <c r="G4" s="1"/>
      <c r="H4" s="1"/>
    </row>
    <row r="5" spans="1:8" x14ac:dyDescent="0.35">
      <c r="A5" s="7" t="s">
        <v>25</v>
      </c>
      <c r="B5" s="8" t="s">
        <v>26</v>
      </c>
      <c r="C5" s="1"/>
      <c r="D5" s="1"/>
      <c r="E5" s="1"/>
      <c r="F5" s="1"/>
      <c r="G5" s="1"/>
      <c r="H5" s="1"/>
    </row>
    <row r="6" spans="1:8" x14ac:dyDescent="0.35">
      <c r="A6" s="7" t="s">
        <v>27</v>
      </c>
      <c r="B6" s="8" t="s">
        <v>28</v>
      </c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ht="16" x14ac:dyDescent="0.4">
      <c r="A9" s="39" t="s">
        <v>29</v>
      </c>
      <c r="B9" s="39"/>
      <c r="C9" s="39"/>
      <c r="D9" s="39"/>
      <c r="E9" s="39"/>
      <c r="F9" s="39"/>
      <c r="G9" s="39"/>
      <c r="H9" s="39"/>
    </row>
    <row r="10" spans="1:8" x14ac:dyDescent="0.35">
      <c r="A10" s="9" t="s">
        <v>30</v>
      </c>
      <c r="B10" s="9" t="s">
        <v>31</v>
      </c>
      <c r="C10" s="9" t="s">
        <v>32</v>
      </c>
      <c r="D10" s="9" t="s">
        <v>33</v>
      </c>
      <c r="E10" s="9" t="s">
        <v>34</v>
      </c>
      <c r="F10" s="9" t="s">
        <v>35</v>
      </c>
      <c r="G10" s="9" t="s">
        <v>36</v>
      </c>
      <c r="H10" s="9" t="s">
        <v>37</v>
      </c>
    </row>
    <row r="11" spans="1:8" x14ac:dyDescent="0.35">
      <c r="A11" s="7" t="s">
        <v>38</v>
      </c>
      <c r="B11" s="8" t="s">
        <v>43</v>
      </c>
      <c r="C11" s="10">
        <v>150000</v>
      </c>
      <c r="D11" s="11">
        <v>1.2</v>
      </c>
      <c r="E11" s="12">
        <f>C11*D11</f>
        <v>180000</v>
      </c>
      <c r="F11" s="12">
        <f>IF(B11="Annual",E11/12,E11*B20)</f>
        <v>15000</v>
      </c>
      <c r="G11" s="13">
        <v>0.25</v>
      </c>
      <c r="H11" s="12">
        <f>F11*G11</f>
        <v>3750</v>
      </c>
    </row>
    <row r="12" spans="1:8" x14ac:dyDescent="0.35">
      <c r="A12" s="7" t="s">
        <v>39</v>
      </c>
      <c r="B12" s="8" t="s">
        <v>43</v>
      </c>
      <c r="C12" s="10">
        <v>120000</v>
      </c>
      <c r="D12" s="11">
        <v>1.2</v>
      </c>
      <c r="E12" s="12">
        <f>C12*D12</f>
        <v>144000</v>
      </c>
      <c r="F12" s="12">
        <f>IF(B12="Annual",E12/12,E12*B20)</f>
        <v>12000</v>
      </c>
      <c r="G12" s="13">
        <v>1</v>
      </c>
      <c r="H12" s="12">
        <f>F12*G12</f>
        <v>12000</v>
      </c>
    </row>
    <row r="13" spans="1:8" x14ac:dyDescent="0.35">
      <c r="A13" s="7" t="s">
        <v>40</v>
      </c>
      <c r="B13" s="8" t="s">
        <v>44</v>
      </c>
      <c r="C13" s="14">
        <v>30</v>
      </c>
      <c r="D13" s="11">
        <v>1.2</v>
      </c>
      <c r="E13" s="15">
        <f>C13*D13</f>
        <v>36</v>
      </c>
      <c r="F13" s="12">
        <f>IF(B13="Annual",E13/12,E13*B20)</f>
        <v>6239.88</v>
      </c>
      <c r="G13" s="13">
        <v>1</v>
      </c>
      <c r="H13" s="12">
        <f>F13*G13</f>
        <v>6239.88</v>
      </c>
    </row>
    <row r="14" spans="1:8" x14ac:dyDescent="0.35">
      <c r="A14" s="7" t="s">
        <v>41</v>
      </c>
      <c r="B14" s="8" t="s">
        <v>44</v>
      </c>
      <c r="C14" s="14">
        <v>25</v>
      </c>
      <c r="D14" s="11">
        <v>1.2</v>
      </c>
      <c r="E14" s="15">
        <f>C14*D14</f>
        <v>30</v>
      </c>
      <c r="F14" s="12">
        <f>IF(B14="Annual",E14/12,E14*B20)</f>
        <v>5199.9000000000005</v>
      </c>
      <c r="G14" s="13">
        <v>1</v>
      </c>
      <c r="H14" s="12">
        <f>F14*G14</f>
        <v>5199.9000000000005</v>
      </c>
    </row>
    <row r="15" spans="1:8" x14ac:dyDescent="0.35">
      <c r="A15" s="7" t="s">
        <v>42</v>
      </c>
      <c r="B15" s="8" t="s">
        <v>44</v>
      </c>
      <c r="C15" s="14">
        <v>28</v>
      </c>
      <c r="D15" s="11">
        <v>1.2</v>
      </c>
      <c r="E15" s="15">
        <f>C15*D15</f>
        <v>33.6</v>
      </c>
      <c r="F15" s="12">
        <f>IF(B15="Annual",E15/12,E15*B20)</f>
        <v>5823.8880000000008</v>
      </c>
      <c r="G15" s="13">
        <v>1</v>
      </c>
      <c r="H15" s="12">
        <f>F15*G15</f>
        <v>5823.8880000000008</v>
      </c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ht="16" x14ac:dyDescent="0.4">
      <c r="A18" s="39" t="s">
        <v>45</v>
      </c>
      <c r="B18" s="39"/>
      <c r="C18" s="1"/>
      <c r="D18" s="1"/>
      <c r="E18" s="1"/>
      <c r="F18" s="1"/>
      <c r="G18" s="1"/>
      <c r="H18" s="1"/>
    </row>
    <row r="19" spans="1:8" x14ac:dyDescent="0.35">
      <c r="A19" s="7" t="s">
        <v>46</v>
      </c>
      <c r="B19" s="16">
        <v>1.2</v>
      </c>
      <c r="C19" s="1"/>
      <c r="D19" s="1"/>
      <c r="E19" s="1"/>
      <c r="F19" s="1"/>
      <c r="G19" s="1"/>
      <c r="H19" s="1"/>
    </row>
    <row r="20" spans="1:8" x14ac:dyDescent="0.35">
      <c r="A20" s="7" t="s">
        <v>47</v>
      </c>
      <c r="B20" s="11">
        <v>173.33</v>
      </c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ht="16" x14ac:dyDescent="0.4">
      <c r="A23" s="39" t="s">
        <v>48</v>
      </c>
      <c r="B23" s="39"/>
      <c r="C23" s="1"/>
      <c r="D23" s="1"/>
      <c r="E23" s="1"/>
      <c r="F23" s="1"/>
      <c r="G23" s="1"/>
      <c r="H23" s="1"/>
    </row>
    <row r="24" spans="1:8" x14ac:dyDescent="0.35">
      <c r="A24" s="7" t="s">
        <v>49</v>
      </c>
      <c r="B24" s="10">
        <v>350000</v>
      </c>
      <c r="C24" s="1"/>
      <c r="D24" s="1"/>
      <c r="E24" s="1"/>
      <c r="F24" s="1"/>
      <c r="G24" s="1"/>
      <c r="H24" s="1"/>
    </row>
    <row r="25" spans="1:8" x14ac:dyDescent="0.35">
      <c r="A25" s="7" t="s">
        <v>50</v>
      </c>
      <c r="B25" s="18">
        <v>120</v>
      </c>
      <c r="C25" s="1"/>
      <c r="D25" s="1"/>
      <c r="E25" s="1"/>
      <c r="F25" s="1"/>
      <c r="G25" s="1"/>
      <c r="H25" s="1"/>
    </row>
    <row r="26" spans="1:8" x14ac:dyDescent="0.35">
      <c r="A26" s="7" t="s">
        <v>51</v>
      </c>
      <c r="B26" s="18">
        <v>10</v>
      </c>
      <c r="C26" s="1"/>
      <c r="D26" s="1"/>
      <c r="E26" s="1"/>
      <c r="F26" s="1"/>
      <c r="G26" s="1"/>
      <c r="H26" s="1"/>
    </row>
    <row r="27" spans="1:8" x14ac:dyDescent="0.35">
      <c r="A27" s="7" t="s">
        <v>52</v>
      </c>
      <c r="B27" s="19">
        <f>B25*B26</f>
        <v>1200</v>
      </c>
      <c r="C27" s="1"/>
      <c r="D27" s="1"/>
      <c r="E27" s="1"/>
      <c r="F27" s="1"/>
      <c r="G27" s="1"/>
      <c r="H27" s="1"/>
    </row>
    <row r="28" spans="1:8" x14ac:dyDescent="0.35">
      <c r="A28" s="7" t="s">
        <v>53</v>
      </c>
      <c r="B28" s="20">
        <v>0.25</v>
      </c>
      <c r="C28" s="1"/>
      <c r="D28" s="1"/>
      <c r="E28" s="1"/>
      <c r="F28" s="1"/>
      <c r="G28" s="1"/>
      <c r="H28" s="1"/>
    </row>
    <row r="29" spans="1:8" x14ac:dyDescent="0.35">
      <c r="A29" s="7" t="s">
        <v>54</v>
      </c>
      <c r="B29" s="18">
        <v>1</v>
      </c>
      <c r="C29" s="1"/>
      <c r="D29" s="1"/>
      <c r="E29" s="1"/>
      <c r="F29" s="1"/>
      <c r="G29" s="1"/>
      <c r="H29" s="1"/>
    </row>
    <row r="30" spans="1:8" x14ac:dyDescent="0.35">
      <c r="A30" s="7" t="s">
        <v>55</v>
      </c>
      <c r="B30" s="8" t="s">
        <v>38</v>
      </c>
      <c r="C30" s="1"/>
      <c r="D30" s="1"/>
      <c r="E30" s="1"/>
      <c r="F30" s="1"/>
      <c r="G30" s="1"/>
      <c r="H30" s="1"/>
    </row>
    <row r="31" spans="1:8" x14ac:dyDescent="0.35">
      <c r="A31" s="7" t="s">
        <v>56</v>
      </c>
      <c r="B31" s="18">
        <v>60</v>
      </c>
      <c r="C31" s="1"/>
      <c r="D31" s="1"/>
      <c r="E31" s="1"/>
      <c r="F31" s="1"/>
      <c r="G31" s="1"/>
      <c r="H31" s="1"/>
    </row>
    <row r="32" spans="1:8" x14ac:dyDescent="0.35">
      <c r="A32" s="7" t="s">
        <v>57</v>
      </c>
      <c r="B32" s="12">
        <f>B31*(Inputs!E11/2080)</f>
        <v>5192.3076923076924</v>
      </c>
      <c r="C32" s="1"/>
      <c r="D32" s="1"/>
      <c r="E32" s="1"/>
      <c r="F32" s="1"/>
      <c r="G32" s="1"/>
      <c r="H32" s="1"/>
    </row>
    <row r="33" spans="1:8" x14ac:dyDescent="0.35">
      <c r="A33" s="1"/>
      <c r="B33" s="1"/>
      <c r="C33" s="1"/>
      <c r="D33" s="1"/>
      <c r="E33" s="1"/>
      <c r="F33" s="1"/>
      <c r="G33" s="1"/>
      <c r="H33" s="1"/>
    </row>
    <row r="34" spans="1:8" x14ac:dyDescent="0.35">
      <c r="A34" s="1"/>
      <c r="B34" s="1"/>
      <c r="C34" s="1"/>
      <c r="D34" s="1"/>
      <c r="E34" s="1"/>
      <c r="F34" s="1"/>
      <c r="G34" s="1"/>
      <c r="H34" s="1"/>
    </row>
    <row r="35" spans="1:8" ht="16" x14ac:dyDescent="0.4">
      <c r="A35" s="39" t="s">
        <v>58</v>
      </c>
      <c r="B35" s="39"/>
      <c r="C35" s="1"/>
      <c r="D35" s="1"/>
      <c r="E35" s="1"/>
      <c r="F35" s="1"/>
      <c r="G35" s="1"/>
      <c r="H35" s="1"/>
    </row>
    <row r="36" spans="1:8" x14ac:dyDescent="0.35">
      <c r="A36" s="7" t="s">
        <v>59</v>
      </c>
      <c r="B36" s="10">
        <v>2500</v>
      </c>
      <c r="C36" s="1"/>
      <c r="D36" s="1"/>
      <c r="E36" s="1"/>
      <c r="F36" s="1"/>
      <c r="G36" s="1"/>
      <c r="H36" s="1"/>
    </row>
    <row r="37" spans="1:8" x14ac:dyDescent="0.35">
      <c r="A37" s="7" t="s">
        <v>60</v>
      </c>
      <c r="B37" s="18">
        <v>2</v>
      </c>
      <c r="C37" s="1"/>
      <c r="D37" s="1"/>
      <c r="E37" s="1"/>
      <c r="F37" s="1"/>
      <c r="G37" s="1"/>
      <c r="H37" s="1"/>
    </row>
    <row r="38" spans="1:8" x14ac:dyDescent="0.35">
      <c r="A38" s="7" t="s">
        <v>61</v>
      </c>
      <c r="B38" s="18">
        <v>3</v>
      </c>
      <c r="C38" s="1"/>
      <c r="D38" s="1"/>
      <c r="E38" s="1"/>
      <c r="F38" s="1"/>
      <c r="G38" s="1"/>
      <c r="H38" s="1"/>
    </row>
    <row r="39" spans="1:8" x14ac:dyDescent="0.35">
      <c r="A39" s="7" t="s">
        <v>62</v>
      </c>
      <c r="B39" s="8" t="s">
        <v>63</v>
      </c>
      <c r="C39" s="1"/>
      <c r="D39" s="1"/>
      <c r="E39" s="1"/>
      <c r="F39" s="1"/>
      <c r="G39" s="1"/>
      <c r="H39" s="1"/>
    </row>
    <row r="40" spans="1:8" x14ac:dyDescent="0.35">
      <c r="A40" s="1"/>
      <c r="B40" s="1"/>
      <c r="C40" s="1"/>
      <c r="D40" s="1"/>
      <c r="E40" s="1"/>
      <c r="F40" s="1"/>
      <c r="G40" s="1"/>
      <c r="H40" s="1"/>
    </row>
    <row r="41" spans="1:8" x14ac:dyDescent="0.35">
      <c r="A41" s="1"/>
      <c r="B41" s="1"/>
      <c r="C41" s="1"/>
      <c r="D41" s="1"/>
      <c r="E41" s="1"/>
      <c r="F41" s="1"/>
      <c r="G41" s="1"/>
      <c r="H41" s="1"/>
    </row>
    <row r="42" spans="1:8" ht="16" x14ac:dyDescent="0.4">
      <c r="A42" s="39" t="s">
        <v>64</v>
      </c>
      <c r="B42" s="39"/>
      <c r="C42" s="1"/>
      <c r="D42" s="1"/>
      <c r="E42" s="1"/>
      <c r="F42" s="1"/>
      <c r="G42" s="1"/>
      <c r="H42" s="1"/>
    </row>
    <row r="43" spans="1:8" x14ac:dyDescent="0.35">
      <c r="A43" s="7" t="s">
        <v>65</v>
      </c>
      <c r="B43" s="10">
        <v>0</v>
      </c>
      <c r="C43" s="1"/>
      <c r="D43" s="1"/>
      <c r="E43" s="1"/>
      <c r="F43" s="1"/>
      <c r="G43" s="1"/>
      <c r="H43" s="1"/>
    </row>
    <row r="44" spans="1:8" x14ac:dyDescent="0.35">
      <c r="A44" s="7" t="s">
        <v>66</v>
      </c>
      <c r="B44" s="10">
        <v>0</v>
      </c>
      <c r="C44" s="1"/>
      <c r="D44" s="1"/>
      <c r="E44" s="1"/>
      <c r="F44" s="1"/>
      <c r="G44" s="1"/>
      <c r="H44" s="1"/>
    </row>
    <row r="45" spans="1:8" x14ac:dyDescent="0.35">
      <c r="A45" s="1"/>
      <c r="B45" s="1"/>
      <c r="C45" s="1"/>
      <c r="D45" s="1"/>
      <c r="E45" s="1"/>
      <c r="F45" s="1"/>
      <c r="G45" s="1"/>
      <c r="H45" s="1"/>
    </row>
    <row r="46" spans="1:8" x14ac:dyDescent="0.35">
      <c r="A46" s="1"/>
      <c r="B46" s="1"/>
      <c r="C46" s="1"/>
      <c r="D46" s="1"/>
      <c r="E46" s="1"/>
      <c r="F46" s="1"/>
      <c r="G46" s="1"/>
      <c r="H46" s="1"/>
    </row>
    <row r="47" spans="1:8" ht="16" x14ac:dyDescent="0.4">
      <c r="A47" s="39" t="s">
        <v>67</v>
      </c>
      <c r="B47" s="39"/>
      <c r="C47" s="1"/>
      <c r="D47" s="1"/>
      <c r="E47" s="1"/>
      <c r="F47" s="1"/>
      <c r="G47" s="1"/>
      <c r="H47" s="1"/>
    </row>
    <row r="48" spans="1:8" x14ac:dyDescent="0.35">
      <c r="A48" s="7" t="s">
        <v>68</v>
      </c>
      <c r="B48" s="20">
        <v>0.4</v>
      </c>
      <c r="C48" s="1"/>
      <c r="D48" s="1"/>
      <c r="E48" s="1"/>
      <c r="F48" s="1"/>
      <c r="G48" s="1"/>
      <c r="H48" s="1"/>
    </row>
    <row r="49" spans="1:8" x14ac:dyDescent="0.35">
      <c r="A49" s="7" t="s">
        <v>69</v>
      </c>
      <c r="B49" s="20">
        <v>0.4</v>
      </c>
      <c r="C49" s="1"/>
      <c r="D49" s="1"/>
      <c r="E49" s="1"/>
      <c r="F49" s="1"/>
      <c r="G49" s="1"/>
      <c r="H49" s="1"/>
    </row>
    <row r="50" spans="1:8" x14ac:dyDescent="0.35">
      <c r="A50" s="7" t="s">
        <v>70</v>
      </c>
      <c r="B50" s="20">
        <v>0.4</v>
      </c>
      <c r="C50" s="1"/>
      <c r="D50" s="1"/>
      <c r="E50" s="1"/>
      <c r="F50" s="1"/>
      <c r="G50" s="1"/>
      <c r="H50" s="1"/>
    </row>
    <row r="51" spans="1:8" x14ac:dyDescent="0.35">
      <c r="A51" s="7" t="s">
        <v>71</v>
      </c>
      <c r="B51" s="20">
        <v>0.3</v>
      </c>
      <c r="C51" s="1"/>
      <c r="D51" s="1"/>
      <c r="E51" s="1"/>
      <c r="F51" s="1"/>
      <c r="G51" s="1"/>
      <c r="H51" s="1"/>
    </row>
    <row r="52" spans="1:8" x14ac:dyDescent="0.35">
      <c r="A52" s="1"/>
      <c r="B52" s="1"/>
      <c r="C52" s="1"/>
      <c r="D52" s="1"/>
      <c r="E52" s="1"/>
      <c r="F52" s="1"/>
      <c r="G52" s="1"/>
      <c r="H52" s="1"/>
    </row>
    <row r="53" spans="1:8" x14ac:dyDescent="0.35">
      <c r="A53" s="1"/>
      <c r="B53" s="1"/>
      <c r="C53" s="1"/>
      <c r="D53" s="1"/>
      <c r="E53" s="1"/>
      <c r="F53" s="1"/>
      <c r="G53" s="1"/>
      <c r="H53" s="1"/>
    </row>
    <row r="54" spans="1:8" ht="16" x14ac:dyDescent="0.4">
      <c r="A54" s="39" t="s">
        <v>72</v>
      </c>
      <c r="B54" s="39"/>
      <c r="C54" s="39"/>
      <c r="D54" s="1"/>
      <c r="E54" s="1"/>
      <c r="F54" s="1"/>
      <c r="G54" s="1"/>
      <c r="H54" s="1"/>
    </row>
    <row r="55" spans="1:8" x14ac:dyDescent="0.35">
      <c r="A55" s="22" t="s">
        <v>75</v>
      </c>
      <c r="B55" s="21" t="s">
        <v>81</v>
      </c>
      <c r="C55" s="21" t="s">
        <v>82</v>
      </c>
      <c r="D55" s="1"/>
      <c r="E55" s="1"/>
      <c r="F55" s="1"/>
      <c r="G55" s="1"/>
      <c r="H55" s="1"/>
    </row>
    <row r="56" spans="1:8" x14ac:dyDescent="0.35">
      <c r="A56" s="7" t="s">
        <v>76</v>
      </c>
      <c r="B56" s="18">
        <v>5</v>
      </c>
      <c r="C56" s="18">
        <v>2</v>
      </c>
      <c r="D56" s="1"/>
      <c r="E56" s="1"/>
      <c r="F56" s="1"/>
      <c r="G56" s="1"/>
      <c r="H56" s="1"/>
    </row>
    <row r="57" spans="1:8" x14ac:dyDescent="0.35">
      <c r="A57" s="7" t="s">
        <v>77</v>
      </c>
      <c r="B57" s="18">
        <v>4</v>
      </c>
      <c r="C57" s="18">
        <v>2</v>
      </c>
      <c r="D57" s="1"/>
      <c r="E57" s="1"/>
      <c r="F57" s="1"/>
      <c r="G57" s="1"/>
      <c r="H57" s="1"/>
    </row>
    <row r="58" spans="1:8" x14ac:dyDescent="0.35">
      <c r="A58" s="7" t="s">
        <v>78</v>
      </c>
      <c r="B58" s="18">
        <v>2</v>
      </c>
      <c r="C58" s="18">
        <v>5</v>
      </c>
      <c r="D58" s="1"/>
      <c r="E58" s="1"/>
      <c r="F58" s="1"/>
      <c r="G58" s="1"/>
      <c r="H58" s="1"/>
    </row>
    <row r="59" spans="1:8" x14ac:dyDescent="0.35">
      <c r="A59" s="7" t="s">
        <v>79</v>
      </c>
      <c r="B59" s="18">
        <v>1</v>
      </c>
      <c r="C59" s="18">
        <v>2</v>
      </c>
      <c r="D59" s="1"/>
      <c r="E59" s="1"/>
      <c r="F59" s="1"/>
      <c r="G59" s="1"/>
      <c r="H59" s="1"/>
    </row>
    <row r="60" spans="1:8" x14ac:dyDescent="0.35">
      <c r="A60" s="7" t="s">
        <v>80</v>
      </c>
      <c r="B60" s="19">
        <f>B58+B59</f>
        <v>3</v>
      </c>
      <c r="C60" s="19">
        <f>C58+C59</f>
        <v>7</v>
      </c>
      <c r="D60" s="1"/>
      <c r="E60" s="1"/>
      <c r="F60" s="1"/>
      <c r="G60" s="1"/>
      <c r="H60" s="1"/>
    </row>
  </sheetData>
  <mergeCells count="8">
    <mergeCell ref="A47:B47"/>
    <mergeCell ref="A54:C54"/>
    <mergeCell ref="A1:B1"/>
    <mergeCell ref="A9:H9"/>
    <mergeCell ref="A18:B18"/>
    <mergeCell ref="A23:B23"/>
    <mergeCell ref="A35:B35"/>
    <mergeCell ref="A42:B42"/>
  </mergeCells>
  <dataValidations count="4">
    <dataValidation type="list" allowBlank="1" showInputMessage="1" showErrorMessage="1" sqref="B11:B15" xr:uid="{212C3781-76A3-439D-8833-B53262E0C1C4}">
      <formula1>"Annual,Hourly"</formula1>
    </dataValidation>
    <dataValidation type="decimal" allowBlank="1" showInputMessage="1" showErrorMessage="1" errorTitle="Invalid Allocation" error="Allocation must be between 0% and 100%." sqref="G11:G15" xr:uid="{F0B6139B-BF62-4A0D-A01F-F752081F32EC}">
      <formula1>0</formula1>
      <formula2>1</formula2>
    </dataValidation>
    <dataValidation type="decimal" allowBlank="1" showInputMessage="1" showErrorMessage="1" errorTitle="Invalid Risk Reserve" error="Risk Reserve must be between 0% and 50%." sqref="B28" xr:uid="{2DDED41A-786F-40A8-97A2-7A9E09D94C4F}">
      <formula1>0</formula1>
      <formula2>0.5</formula2>
    </dataValidation>
    <dataValidation type="decimal" allowBlank="1" showInputMessage="1" showErrorMessage="1" errorTitle="Invalid Load Factor" error="Load Factor must be between 1.00 and 2.00." sqref="D11:D15" xr:uid="{E8A8D556-5BE2-4836-A913-1B43182A43A8}">
      <formula1>1</formula1>
      <formula2>2</formula2>
    </dataValidation>
  </dataValidations>
  <pageMargins left="0.5" right="0.5" top="0.5" bottom="0.5" header="0.25" footer="0.25"/>
  <pageSetup paperSize="0" scale="0" orientation="landscape" horizontalDpi="0" verticalDpi="0" copies="0"/>
  <headerFooter>
    <oddHeader>&amp;LBayOne Solutions — Confidential&amp;C&amp;A</oddHeader>
    <oddFooter>&amp;R&amp;P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FA30-9E27-4DD4-822B-FBF990ABDA78}">
  <sheetPr>
    <tabColor rgb="FF7C3AED"/>
  </sheetPr>
  <dimension ref="A1:H45"/>
  <sheetViews>
    <sheetView workbookViewId="0">
      <selection activeCell="C5" sqref="C5"/>
    </sheetView>
  </sheetViews>
  <sheetFormatPr defaultRowHeight="14.5" x14ac:dyDescent="0.35"/>
  <cols>
    <col min="1" max="1" width="36.36328125" customWidth="1"/>
    <col min="2" max="6" width="21.81640625" customWidth="1"/>
  </cols>
  <sheetData>
    <row r="1" spans="1:8" ht="30" customHeight="1" x14ac:dyDescent="0.45">
      <c r="A1" s="40" t="str">
        <f>"Scenario A: "&amp;Inputs!B55&amp;" — Accelerated Delivery (More Resources, Shorter Timeline)"</f>
        <v>Scenario A: Q3 Delivery — Accelerated Delivery (More Resources, Shorter Timeline)</v>
      </c>
      <c r="B1" s="40"/>
      <c r="C1" s="40"/>
      <c r="D1" s="40"/>
      <c r="E1" s="40"/>
      <c r="F1" s="40"/>
      <c r="G1" s="1"/>
      <c r="H1" s="1"/>
    </row>
    <row r="2" spans="1:8" x14ac:dyDescent="0.35">
      <c r="A2" s="41" t="str">
        <f>"POC (1 month) + "&amp;Inputs!B58&amp;" dev months + "&amp;Inputs!B59&amp;" stabilization month(s) = "&amp;(1+Inputs!B60)&amp;" months total"</f>
        <v>POC (1 month) + 2 dev months + 1 stabilization month(s) = 4 months total</v>
      </c>
      <c r="B2" s="41"/>
      <c r="C2" s="41"/>
      <c r="D2" s="41"/>
      <c r="E2" s="41"/>
      <c r="F2" s="4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9" t="s">
        <v>30</v>
      </c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1"/>
      <c r="H4" s="1"/>
    </row>
    <row r="5" spans="1:8" x14ac:dyDescent="0.35">
      <c r="A5" s="7" t="s">
        <v>38</v>
      </c>
      <c r="B5" s="12">
        <f>Inputs!B32</f>
        <v>5192.3076923076924</v>
      </c>
      <c r="C5" s="12">
        <f>Inputs!H11</f>
        <v>3750</v>
      </c>
      <c r="D5" s="12">
        <f>Inputs!H11</f>
        <v>3750</v>
      </c>
      <c r="E5" s="12">
        <f>Inputs!H11</f>
        <v>3750</v>
      </c>
      <c r="F5" s="12">
        <f>SUM(B5:E5)</f>
        <v>16442.307692307691</v>
      </c>
      <c r="G5" s="1"/>
      <c r="H5" s="1"/>
    </row>
    <row r="6" spans="1:8" x14ac:dyDescent="0.35">
      <c r="A6" s="7" t="s">
        <v>39</v>
      </c>
      <c r="B6" s="12">
        <v>0</v>
      </c>
      <c r="C6" s="12">
        <f>Inputs!H12</f>
        <v>12000</v>
      </c>
      <c r="D6" s="12">
        <f>Inputs!H12</f>
        <v>12000</v>
      </c>
      <c r="E6" s="12">
        <f>Inputs!H12</f>
        <v>12000</v>
      </c>
      <c r="F6" s="12">
        <f>SUM(B6:E6)</f>
        <v>36000</v>
      </c>
      <c r="G6" s="1"/>
      <c r="H6" s="1"/>
    </row>
    <row r="7" spans="1:8" x14ac:dyDescent="0.35">
      <c r="A7" s="7" t="s">
        <v>88</v>
      </c>
      <c r="B7" s="12">
        <v>0</v>
      </c>
      <c r="C7" s="12">
        <f>AVERAGE(Inputs!H13:H15)*Inputs!B56</f>
        <v>28772.780000000002</v>
      </c>
      <c r="D7" s="12">
        <f>AVERAGE(Inputs!H13:H15)*Inputs!B56</f>
        <v>28772.780000000002</v>
      </c>
      <c r="E7" s="12">
        <v>0</v>
      </c>
      <c r="F7" s="12">
        <f>SUM(B7:E7)</f>
        <v>57545.560000000005</v>
      </c>
      <c r="G7" s="1"/>
      <c r="H7" s="1"/>
    </row>
    <row r="8" spans="1:8" x14ac:dyDescent="0.35">
      <c r="A8" s="7" t="s">
        <v>89</v>
      </c>
      <c r="B8" s="12">
        <v>0</v>
      </c>
      <c r="C8" s="12">
        <v>0</v>
      </c>
      <c r="D8" s="12">
        <v>0</v>
      </c>
      <c r="E8" s="12">
        <f>AVERAGE(Inputs!H13:H15)*Inputs!B57</f>
        <v>23018.224000000002</v>
      </c>
      <c r="F8" s="12">
        <f>SUM(B8:E8)</f>
        <v>23018.224000000002</v>
      </c>
      <c r="G8" s="1"/>
      <c r="H8" s="1"/>
    </row>
    <row r="9" spans="1:8" x14ac:dyDescent="0.35">
      <c r="A9" s="25" t="s">
        <v>90</v>
      </c>
      <c r="B9" s="24">
        <f>SUM(B5:B8)</f>
        <v>5192.3076923076924</v>
      </c>
      <c r="C9" s="24">
        <f>SUM(C5:C8)</f>
        <v>44522.78</v>
      </c>
      <c r="D9" s="24">
        <f>SUM(D5:D8)</f>
        <v>44522.78</v>
      </c>
      <c r="E9" s="24">
        <f>SUM(E5:E8)</f>
        <v>38768.224000000002</v>
      </c>
      <c r="F9" s="24">
        <f>SUM(F5:F8)</f>
        <v>133006.09169230767</v>
      </c>
      <c r="G9" s="1"/>
      <c r="H9" s="1"/>
    </row>
    <row r="10" spans="1:8" x14ac:dyDescent="0.35">
      <c r="A10" s="26" t="s">
        <v>91</v>
      </c>
      <c r="B10" s="12">
        <f>B9</f>
        <v>5192.3076923076924</v>
      </c>
      <c r="C10" s="12">
        <f>B10+C9</f>
        <v>49715.087692307694</v>
      </c>
      <c r="D10" s="12">
        <f>C10+D9</f>
        <v>94237.867692307686</v>
      </c>
      <c r="E10" s="12">
        <f>D10+E9</f>
        <v>133006.09169230767</v>
      </c>
      <c r="F10" s="12"/>
      <c r="G10" s="1"/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ht="16" x14ac:dyDescent="0.4">
      <c r="A13" s="39" t="s">
        <v>92</v>
      </c>
      <c r="B13" s="39"/>
      <c r="C13" s="1"/>
      <c r="D13" s="1"/>
      <c r="E13" s="1"/>
      <c r="F13" s="1"/>
      <c r="G13" s="1"/>
      <c r="H13" s="1"/>
    </row>
    <row r="14" spans="1:8" x14ac:dyDescent="0.35">
      <c r="A14" s="7" t="s">
        <v>49</v>
      </c>
      <c r="B14" s="12">
        <f>Inputs!B24</f>
        <v>350000</v>
      </c>
      <c r="C14" s="1"/>
      <c r="D14" s="1"/>
      <c r="E14" s="1"/>
      <c r="F14" s="1"/>
      <c r="G14" s="1"/>
      <c r="H14" s="1"/>
    </row>
    <row r="15" spans="1:8" x14ac:dyDescent="0.35">
      <c r="A15" s="7" t="s">
        <v>93</v>
      </c>
      <c r="B15" s="12">
        <f>F9</f>
        <v>133006.09169230767</v>
      </c>
      <c r="C15" s="1"/>
      <c r="D15" s="1"/>
      <c r="E15" s="1"/>
      <c r="F15" s="1"/>
      <c r="G15" s="1"/>
      <c r="H15" s="1"/>
    </row>
    <row r="16" spans="1:8" x14ac:dyDescent="0.35">
      <c r="A16" s="7" t="s">
        <v>58</v>
      </c>
      <c r="B16" s="12">
        <f>Inputs!B36*Inputs!B37</f>
        <v>5000</v>
      </c>
      <c r="C16" s="1"/>
      <c r="D16" s="1"/>
      <c r="E16" s="1"/>
      <c r="F16" s="1"/>
      <c r="G16" s="1"/>
      <c r="H16" s="1"/>
    </row>
    <row r="17" spans="1:8" x14ac:dyDescent="0.35">
      <c r="A17" s="7" t="s">
        <v>64</v>
      </c>
      <c r="B17" s="12">
        <f>Inputs!B44+(Inputs!B43*(1+Inputs!B60))</f>
        <v>0</v>
      </c>
      <c r="C17" s="1"/>
      <c r="D17" s="1"/>
      <c r="E17" s="1"/>
      <c r="F17" s="1"/>
      <c r="G17" s="1"/>
      <c r="H17" s="1"/>
    </row>
    <row r="18" spans="1:8" x14ac:dyDescent="0.35">
      <c r="A18" s="25" t="s">
        <v>94</v>
      </c>
      <c r="B18" s="24">
        <f>SUM(B15:B17)</f>
        <v>138006.09169230767</v>
      </c>
      <c r="C18" s="1"/>
      <c r="D18" s="1"/>
      <c r="E18" s="1"/>
      <c r="F18" s="1"/>
      <c r="G18" s="1"/>
      <c r="H18" s="1"/>
    </row>
    <row r="19" spans="1:8" x14ac:dyDescent="0.35">
      <c r="A19" s="7" t="s">
        <v>95</v>
      </c>
      <c r="B19" s="12">
        <f>B18*Inputs!B28</f>
        <v>34501.522923076918</v>
      </c>
      <c r="C19" s="1"/>
      <c r="D19" s="1"/>
      <c r="E19" s="1"/>
      <c r="F19" s="1"/>
      <c r="G19" s="1"/>
      <c r="H19" s="1"/>
    </row>
    <row r="20" spans="1:8" x14ac:dyDescent="0.35">
      <c r="A20" s="25" t="s">
        <v>96</v>
      </c>
      <c r="B20" s="24">
        <f>B18+B19</f>
        <v>172507.61461538461</v>
      </c>
      <c r="C20" s="1"/>
      <c r="D20" s="1"/>
      <c r="E20" s="1"/>
      <c r="F20" s="1"/>
      <c r="G20" s="1"/>
      <c r="H20" s="1"/>
    </row>
    <row r="21" spans="1:8" x14ac:dyDescent="0.35">
      <c r="A21" s="7"/>
      <c r="B21" s="28"/>
      <c r="C21" s="1"/>
      <c r="D21" s="1"/>
      <c r="E21" s="1"/>
      <c r="F21" s="1"/>
      <c r="G21" s="1"/>
      <c r="H21" s="1"/>
    </row>
    <row r="22" spans="1:8" x14ac:dyDescent="0.35">
      <c r="A22" s="7" t="s">
        <v>97</v>
      </c>
      <c r="B22" s="12">
        <f>B14-B20</f>
        <v>177492.38538461539</v>
      </c>
      <c r="C22" s="1"/>
      <c r="D22" s="1"/>
      <c r="E22" s="1"/>
      <c r="F22" s="1"/>
      <c r="G22" s="1"/>
      <c r="H22" s="1"/>
    </row>
    <row r="23" spans="1:8" x14ac:dyDescent="0.35">
      <c r="A23" s="27" t="s">
        <v>98</v>
      </c>
      <c r="B23" s="38">
        <f>B22/B14</f>
        <v>0.50712110109890107</v>
      </c>
      <c r="C23" s="1"/>
      <c r="D23" s="1"/>
      <c r="E23" s="1"/>
      <c r="F23" s="1"/>
      <c r="G23" s="1"/>
      <c r="H23" s="1"/>
    </row>
    <row r="24" spans="1:8" x14ac:dyDescent="0.35">
      <c r="A24" s="7" t="s">
        <v>99</v>
      </c>
      <c r="B24" s="12">
        <f>B14-B18</f>
        <v>211993.90830769233</v>
      </c>
      <c r="C24" s="1"/>
      <c r="D24" s="1"/>
      <c r="E24" s="1"/>
      <c r="F24" s="1"/>
      <c r="G24" s="1"/>
      <c r="H24" s="1"/>
    </row>
    <row r="25" spans="1:8" x14ac:dyDescent="0.35">
      <c r="A25" s="27" t="s">
        <v>100</v>
      </c>
      <c r="B25" s="38">
        <f>B24/B14</f>
        <v>0.60569688087912088</v>
      </c>
      <c r="C25" s="1"/>
      <c r="D25" s="1"/>
      <c r="E25" s="1"/>
      <c r="F25" s="1"/>
      <c r="G25" s="1"/>
      <c r="H25" s="1"/>
    </row>
    <row r="26" spans="1:8" x14ac:dyDescent="0.35">
      <c r="A26" s="7"/>
      <c r="B26" s="28"/>
      <c r="C26" s="1"/>
      <c r="D26" s="1"/>
      <c r="E26" s="1"/>
      <c r="F26" s="1"/>
      <c r="G26" s="1"/>
      <c r="H26" s="1"/>
    </row>
    <row r="27" spans="1:8" x14ac:dyDescent="0.35">
      <c r="A27" s="7" t="s">
        <v>101</v>
      </c>
      <c r="B27" s="28" t="str">
        <f>IF(B23&gt;=Inputs!B49,"YES","NO")</f>
        <v>YES</v>
      </c>
      <c r="C27" s="1"/>
      <c r="D27" s="1"/>
      <c r="E27" s="1"/>
      <c r="F27" s="1"/>
      <c r="G27" s="1"/>
      <c r="H27" s="1"/>
    </row>
    <row r="28" spans="1:8" x14ac:dyDescent="0.35">
      <c r="A28" s="7" t="s">
        <v>102</v>
      </c>
      <c r="B28" s="28" t="str">
        <f>IF(B25&gt;=Inputs!B49,"YES","NO")</f>
        <v>YES</v>
      </c>
      <c r="C28" s="1"/>
      <c r="D28" s="1"/>
      <c r="E28" s="1"/>
      <c r="F28" s="1"/>
      <c r="G28" s="1"/>
      <c r="H28" s="1"/>
    </row>
    <row r="29" spans="1:8" x14ac:dyDescent="0.35">
      <c r="A29" s="1"/>
      <c r="B29" s="1"/>
      <c r="C29" s="1"/>
      <c r="D29" s="1"/>
      <c r="E29" s="1"/>
      <c r="F29" s="1"/>
      <c r="G29" s="1"/>
      <c r="H29" s="1"/>
    </row>
    <row r="30" spans="1:8" x14ac:dyDescent="0.35">
      <c r="A30" s="1"/>
      <c r="B30" s="1"/>
      <c r="C30" s="1"/>
      <c r="D30" s="1"/>
      <c r="E30" s="1"/>
      <c r="F30" s="1"/>
      <c r="G30" s="1"/>
      <c r="H30" s="1"/>
    </row>
    <row r="31" spans="1:8" ht="16" x14ac:dyDescent="0.4">
      <c r="A31" s="39" t="s">
        <v>103</v>
      </c>
      <c r="B31" s="39"/>
      <c r="C31" s="1"/>
      <c r="D31" s="1"/>
      <c r="E31" s="1"/>
      <c r="F31" s="1"/>
      <c r="G31" s="1"/>
      <c r="H31" s="1"/>
    </row>
    <row r="32" spans="1:8" x14ac:dyDescent="0.35">
      <c r="A32" s="7" t="s">
        <v>104</v>
      </c>
      <c r="B32" s="12">
        <f>B18/Inputs!B25</f>
        <v>1150.050764102564</v>
      </c>
      <c r="C32" s="1"/>
      <c r="D32" s="1"/>
      <c r="E32" s="1"/>
      <c r="F32" s="1"/>
      <c r="G32" s="1"/>
      <c r="H32" s="1"/>
    </row>
    <row r="33" spans="1:8" x14ac:dyDescent="0.35">
      <c r="A33" s="7" t="s">
        <v>105</v>
      </c>
      <c r="B33" s="12">
        <f>B20/Inputs!B25</f>
        <v>1437.5634551282051</v>
      </c>
      <c r="C33" s="1"/>
      <c r="D33" s="1"/>
      <c r="E33" s="1"/>
      <c r="F33" s="1"/>
      <c r="G33" s="1"/>
      <c r="H33" s="1"/>
    </row>
    <row r="34" spans="1:8" x14ac:dyDescent="0.35">
      <c r="A34" s="7" t="s">
        <v>106</v>
      </c>
      <c r="B34" s="12">
        <f>B14/Inputs!B25</f>
        <v>2916.6666666666665</v>
      </c>
      <c r="C34" s="1"/>
      <c r="D34" s="1"/>
      <c r="E34" s="1"/>
      <c r="F34" s="1"/>
      <c r="G34" s="1"/>
      <c r="H34" s="1"/>
    </row>
    <row r="35" spans="1:8" x14ac:dyDescent="0.35">
      <c r="A35" s="7" t="s">
        <v>107</v>
      </c>
      <c r="B35" s="12">
        <f>B34-B33</f>
        <v>1479.1032115384614</v>
      </c>
      <c r="C35" s="1"/>
      <c r="D35" s="1"/>
      <c r="E35" s="1"/>
      <c r="F35" s="1"/>
      <c r="G35" s="1"/>
      <c r="H35" s="1"/>
    </row>
    <row r="36" spans="1:8" x14ac:dyDescent="0.35">
      <c r="A36" s="1"/>
      <c r="B36" s="1"/>
      <c r="C36" s="1"/>
      <c r="D36" s="1"/>
      <c r="E36" s="1"/>
      <c r="F36" s="1"/>
      <c r="G36" s="1"/>
      <c r="H36" s="1"/>
    </row>
    <row r="37" spans="1:8" x14ac:dyDescent="0.35">
      <c r="A37" s="1"/>
      <c r="B37" s="1"/>
      <c r="C37" s="1"/>
      <c r="D37" s="1"/>
      <c r="E37" s="1"/>
      <c r="F37" s="1"/>
      <c r="G37" s="1"/>
      <c r="H37" s="1"/>
    </row>
    <row r="38" spans="1:8" ht="16" x14ac:dyDescent="0.4">
      <c r="A38" s="39" t="s">
        <v>108</v>
      </c>
      <c r="B38" s="39"/>
      <c r="C38" s="1"/>
      <c r="D38" s="1"/>
      <c r="E38" s="1"/>
      <c r="F38" s="1"/>
      <c r="G38" s="1"/>
      <c r="H38" s="1"/>
    </row>
    <row r="39" spans="1:8" x14ac:dyDescent="0.35">
      <c r="A39" s="7" t="s">
        <v>109</v>
      </c>
      <c r="B39" s="19">
        <f>1+Inputs!B60</f>
        <v>4</v>
      </c>
      <c r="C39" s="1"/>
      <c r="D39" s="1"/>
      <c r="E39" s="1"/>
      <c r="F39" s="1"/>
      <c r="G39" s="1"/>
      <c r="H39" s="1"/>
    </row>
    <row r="40" spans="1:8" x14ac:dyDescent="0.35">
      <c r="A40" s="7" t="s">
        <v>110</v>
      </c>
      <c r="B40" s="19">
        <f>2+Inputs!B56</f>
        <v>7</v>
      </c>
      <c r="C40" s="1"/>
      <c r="D40" s="1"/>
      <c r="E40" s="1"/>
      <c r="F40" s="1"/>
      <c r="G40" s="1"/>
      <c r="H40" s="1"/>
    </row>
    <row r="41" spans="1:8" x14ac:dyDescent="0.35">
      <c r="A41" s="7" t="s">
        <v>111</v>
      </c>
      <c r="B41" s="12">
        <f>MAX(B9:E9)</f>
        <v>44522.78</v>
      </c>
      <c r="C41" s="1"/>
      <c r="D41" s="1"/>
      <c r="E41" s="1"/>
      <c r="F41" s="1"/>
      <c r="G41" s="1"/>
      <c r="H41" s="1"/>
    </row>
    <row r="42" spans="1:8" x14ac:dyDescent="0.35">
      <c r="A42" s="7" t="s">
        <v>112</v>
      </c>
      <c r="B42" s="12">
        <f>F9/B39</f>
        <v>33251.522923076918</v>
      </c>
      <c r="C42" s="1"/>
      <c r="D42" s="1"/>
      <c r="E42" s="1"/>
      <c r="F42" s="1"/>
      <c r="G42" s="1"/>
      <c r="H42" s="1"/>
    </row>
    <row r="43" spans="1:8" x14ac:dyDescent="0.35">
      <c r="A43" s="1"/>
      <c r="B43" s="1"/>
      <c r="C43" s="1"/>
      <c r="D43" s="1"/>
      <c r="E43" s="1"/>
      <c r="F43" s="1"/>
      <c r="G43" s="1"/>
      <c r="H43" s="1"/>
    </row>
    <row r="44" spans="1:8" x14ac:dyDescent="0.35">
      <c r="A44" s="1"/>
      <c r="B44" s="1"/>
      <c r="C44" s="1"/>
      <c r="D44" s="1"/>
      <c r="E44" s="1"/>
      <c r="F44" s="1"/>
      <c r="G44" s="1"/>
      <c r="H44" s="1"/>
    </row>
    <row r="45" spans="1:8" x14ac:dyDescent="0.35">
      <c r="A45" s="1"/>
      <c r="B45" s="1"/>
      <c r="C45" s="1"/>
      <c r="D45" s="1"/>
      <c r="E45" s="1"/>
      <c r="F45" s="1"/>
      <c r="G45" s="1"/>
      <c r="H45" s="1"/>
    </row>
  </sheetData>
  <mergeCells count="5">
    <mergeCell ref="A1:F1"/>
    <mergeCell ref="A2:F2"/>
    <mergeCell ref="A13:B13"/>
    <mergeCell ref="A31:B31"/>
    <mergeCell ref="A38:B38"/>
  </mergeCells>
  <pageMargins left="0.5" right="0.5" top="0.5" bottom="0.5" header="0.25" footer="0.25"/>
  <pageSetup paperSize="0" scale="0" orientation="landscape" horizontalDpi="0" verticalDpi="0" copies="0"/>
  <headerFooter>
    <oddHeader>&amp;LBayOne Solutions — Confidential&amp;C&amp;A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6127-27C9-4171-B99B-F4974DE0FF48}">
  <sheetPr>
    <tabColor rgb="FF1E40AF"/>
  </sheetPr>
  <dimension ref="A1:J45"/>
  <sheetViews>
    <sheetView workbookViewId="0">
      <selection activeCell="C5" sqref="C5"/>
    </sheetView>
  </sheetViews>
  <sheetFormatPr defaultRowHeight="14.5" x14ac:dyDescent="0.35"/>
  <cols>
    <col min="1" max="1" width="36.36328125" customWidth="1"/>
    <col min="2" max="10" width="19.08984375" customWidth="1"/>
  </cols>
  <sheetData>
    <row r="1" spans="1:10" ht="30" customHeight="1" x14ac:dyDescent="0.45">
      <c r="A1" s="40" t="str">
        <f>"Scenario B: "&amp;Inputs!C55&amp;" — Extended Timeline (Fewer Resources, Longer Duration)"</f>
        <v>Scenario B: Q4 Delivery — Extended Timeline (Fewer Resources, Longer Duration)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35">
      <c r="A2" s="41" t="str">
        <f>"POC (1 month) + "&amp;Inputs!C58&amp;" dev months + "&amp;Inputs!C59&amp;" stabilization months = "&amp;(1+Inputs!C60)&amp;" months total"</f>
        <v>POC (1 month) + 5 dev months + 2 stabilization months = 8 months total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9" t="s">
        <v>30</v>
      </c>
      <c r="B4" s="9" t="s">
        <v>83</v>
      </c>
      <c r="C4" s="9" t="s">
        <v>84</v>
      </c>
      <c r="D4" s="9" t="s">
        <v>85</v>
      </c>
      <c r="E4" s="9" t="s">
        <v>113</v>
      </c>
      <c r="F4" s="9" t="s">
        <v>114</v>
      </c>
      <c r="G4" s="9" t="s">
        <v>115</v>
      </c>
      <c r="H4" s="9" t="s">
        <v>116</v>
      </c>
      <c r="I4" s="9" t="s">
        <v>117</v>
      </c>
      <c r="J4" s="9" t="s">
        <v>87</v>
      </c>
    </row>
    <row r="5" spans="1:10" x14ac:dyDescent="0.35">
      <c r="A5" s="7" t="s">
        <v>38</v>
      </c>
      <c r="B5" s="12">
        <f>Inputs!B32</f>
        <v>5192.3076923076924</v>
      </c>
      <c r="C5" s="12">
        <f>Inputs!H11</f>
        <v>3750</v>
      </c>
      <c r="D5" s="12">
        <f>Inputs!H11</f>
        <v>3750</v>
      </c>
      <c r="E5" s="12">
        <f>Inputs!H11</f>
        <v>3750</v>
      </c>
      <c r="F5" s="12">
        <f>Inputs!H11</f>
        <v>3750</v>
      </c>
      <c r="G5" s="12">
        <f>Inputs!H11</f>
        <v>3750</v>
      </c>
      <c r="H5" s="12">
        <f>Inputs!H11</f>
        <v>3750</v>
      </c>
      <c r="I5" s="12">
        <f>Inputs!H11</f>
        <v>3750</v>
      </c>
      <c r="J5" s="12">
        <f>SUM(B5:I5)</f>
        <v>31442.307692307691</v>
      </c>
    </row>
    <row r="6" spans="1:10" x14ac:dyDescent="0.35">
      <c r="A6" s="7" t="s">
        <v>39</v>
      </c>
      <c r="B6" s="12">
        <v>0</v>
      </c>
      <c r="C6" s="12">
        <f>Inputs!H12</f>
        <v>12000</v>
      </c>
      <c r="D6" s="12">
        <f>Inputs!H12</f>
        <v>12000</v>
      </c>
      <c r="E6" s="12">
        <f>Inputs!H12</f>
        <v>12000</v>
      </c>
      <c r="F6" s="12">
        <f>Inputs!H12</f>
        <v>12000</v>
      </c>
      <c r="G6" s="12">
        <f>Inputs!H12</f>
        <v>12000</v>
      </c>
      <c r="H6" s="12">
        <f>Inputs!H12*0.5</f>
        <v>6000</v>
      </c>
      <c r="I6" s="12">
        <f>Inputs!H12*0.5</f>
        <v>6000</v>
      </c>
      <c r="J6" s="12">
        <f>SUM(B6:I6)</f>
        <v>72000</v>
      </c>
    </row>
    <row r="7" spans="1:10" x14ac:dyDescent="0.35">
      <c r="A7" s="7" t="s">
        <v>88</v>
      </c>
      <c r="B7" s="12">
        <v>0</v>
      </c>
      <c r="C7" s="12">
        <f>AVERAGE(Inputs!H13:H15)*Inputs!C56</f>
        <v>11509.112000000001</v>
      </c>
      <c r="D7" s="12">
        <f>AVERAGE(Inputs!H13:H15)*Inputs!C56</f>
        <v>11509.112000000001</v>
      </c>
      <c r="E7" s="12">
        <f>AVERAGE(Inputs!H13:H15)*Inputs!C56</f>
        <v>11509.112000000001</v>
      </c>
      <c r="F7" s="12">
        <f>AVERAGE(Inputs!H13:H15)*Inputs!C56</f>
        <v>11509.112000000001</v>
      </c>
      <c r="G7" s="12">
        <f>AVERAGE(Inputs!H13:H15)*Inputs!C56</f>
        <v>11509.112000000001</v>
      </c>
      <c r="H7" s="12">
        <v>0</v>
      </c>
      <c r="I7" s="12">
        <v>0</v>
      </c>
      <c r="J7" s="12">
        <f>SUM(B7:I7)</f>
        <v>57545.560000000005</v>
      </c>
    </row>
    <row r="8" spans="1:10" x14ac:dyDescent="0.35">
      <c r="A8" s="7" t="s">
        <v>89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f>AVERAGE(Inputs!H13:H15)*Inputs!C57</f>
        <v>11509.112000000001</v>
      </c>
      <c r="I8" s="12">
        <f>AVERAGE(Inputs!H13:H15)*Inputs!C57</f>
        <v>11509.112000000001</v>
      </c>
      <c r="J8" s="12">
        <f>SUM(B8:I8)</f>
        <v>23018.224000000002</v>
      </c>
    </row>
    <row r="9" spans="1:10" x14ac:dyDescent="0.35">
      <c r="A9" s="25" t="s">
        <v>90</v>
      </c>
      <c r="B9" s="24">
        <f t="shared" ref="B9:J9" si="0">SUM(B5:B8)</f>
        <v>5192.3076923076924</v>
      </c>
      <c r="C9" s="24">
        <f t="shared" si="0"/>
        <v>27259.112000000001</v>
      </c>
      <c r="D9" s="24">
        <f t="shared" si="0"/>
        <v>27259.112000000001</v>
      </c>
      <c r="E9" s="24">
        <f t="shared" si="0"/>
        <v>27259.112000000001</v>
      </c>
      <c r="F9" s="24">
        <f t="shared" si="0"/>
        <v>27259.112000000001</v>
      </c>
      <c r="G9" s="24">
        <f t="shared" si="0"/>
        <v>27259.112000000001</v>
      </c>
      <c r="H9" s="24">
        <f t="shared" si="0"/>
        <v>21259.112000000001</v>
      </c>
      <c r="I9" s="24">
        <f t="shared" si="0"/>
        <v>21259.112000000001</v>
      </c>
      <c r="J9" s="24">
        <f t="shared" si="0"/>
        <v>184006.09169230767</v>
      </c>
    </row>
    <row r="10" spans="1:10" x14ac:dyDescent="0.35">
      <c r="A10" s="26" t="s">
        <v>91</v>
      </c>
      <c r="B10" s="12">
        <f>B9</f>
        <v>5192.3076923076924</v>
      </c>
      <c r="C10" s="12">
        <f t="shared" ref="C10:I10" si="1">B10+C9</f>
        <v>32451.419692307692</v>
      </c>
      <c r="D10" s="12">
        <f t="shared" si="1"/>
        <v>59710.53169230769</v>
      </c>
      <c r="E10" s="12">
        <f t="shared" si="1"/>
        <v>86969.643692307698</v>
      </c>
      <c r="F10" s="12">
        <f t="shared" si="1"/>
        <v>114228.75569230769</v>
      </c>
      <c r="G10" s="12">
        <f t="shared" si="1"/>
        <v>141487.86769230769</v>
      </c>
      <c r="H10" s="12">
        <f t="shared" si="1"/>
        <v>162746.97969230768</v>
      </c>
      <c r="I10" s="12">
        <f t="shared" si="1"/>
        <v>184006.09169230767</v>
      </c>
      <c r="J10" s="12"/>
    </row>
    <row r="11" spans="1:1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6" x14ac:dyDescent="0.4">
      <c r="A13" s="39" t="s">
        <v>92</v>
      </c>
      <c r="B13" s="39"/>
      <c r="C13" s="1"/>
      <c r="D13" s="1"/>
      <c r="E13" s="1"/>
      <c r="F13" s="1"/>
      <c r="G13" s="1"/>
      <c r="H13" s="1"/>
      <c r="I13" s="1"/>
      <c r="J13" s="1"/>
    </row>
    <row r="14" spans="1:10" x14ac:dyDescent="0.35">
      <c r="A14" s="7" t="s">
        <v>49</v>
      </c>
      <c r="B14" s="12">
        <f>Inputs!B24</f>
        <v>350000</v>
      </c>
      <c r="C14" s="1"/>
      <c r="D14" s="1"/>
      <c r="E14" s="1"/>
      <c r="F14" s="1"/>
      <c r="G14" s="1"/>
      <c r="H14" s="1"/>
      <c r="I14" s="1"/>
      <c r="J14" s="1"/>
    </row>
    <row r="15" spans="1:10" x14ac:dyDescent="0.35">
      <c r="A15" s="7" t="s">
        <v>93</v>
      </c>
      <c r="B15" s="12">
        <f>J9</f>
        <v>184006.09169230767</v>
      </c>
      <c r="C15" s="1"/>
      <c r="D15" s="1"/>
      <c r="E15" s="1"/>
      <c r="F15" s="1"/>
      <c r="G15" s="1"/>
      <c r="H15" s="1"/>
      <c r="I15" s="1"/>
      <c r="J15" s="1"/>
    </row>
    <row r="16" spans="1:10" x14ac:dyDescent="0.35">
      <c r="A16" s="7" t="s">
        <v>58</v>
      </c>
      <c r="B16" s="12">
        <f>Inputs!B36*Inputs!B38</f>
        <v>7500</v>
      </c>
      <c r="C16" s="1"/>
      <c r="D16" s="1"/>
      <c r="E16" s="1"/>
      <c r="F16" s="1"/>
      <c r="G16" s="1"/>
      <c r="H16" s="1"/>
      <c r="I16" s="1"/>
      <c r="J16" s="1"/>
    </row>
    <row r="17" spans="1:10" x14ac:dyDescent="0.35">
      <c r="A17" s="7" t="s">
        <v>64</v>
      </c>
      <c r="B17" s="12">
        <f>Inputs!B44+(Inputs!B43*(1+Inputs!C60))</f>
        <v>0</v>
      </c>
      <c r="C17" s="1"/>
      <c r="D17" s="1"/>
      <c r="E17" s="1"/>
      <c r="F17" s="1"/>
      <c r="G17" s="1"/>
      <c r="H17" s="1"/>
      <c r="I17" s="1"/>
      <c r="J17" s="1"/>
    </row>
    <row r="18" spans="1:10" x14ac:dyDescent="0.35">
      <c r="A18" s="25" t="s">
        <v>94</v>
      </c>
      <c r="B18" s="24">
        <f>SUM(B15:B17)</f>
        <v>191506.09169230767</v>
      </c>
      <c r="C18" s="1"/>
      <c r="D18" s="1"/>
      <c r="E18" s="1"/>
      <c r="F18" s="1"/>
      <c r="G18" s="1"/>
      <c r="H18" s="1"/>
      <c r="I18" s="1"/>
      <c r="J18" s="1"/>
    </row>
    <row r="19" spans="1:10" x14ac:dyDescent="0.35">
      <c r="A19" s="7" t="s">
        <v>95</v>
      </c>
      <c r="B19" s="12">
        <f>B18*Inputs!B28</f>
        <v>47876.522923076918</v>
      </c>
      <c r="C19" s="1"/>
      <c r="D19" s="1"/>
      <c r="E19" s="1"/>
      <c r="F19" s="1"/>
      <c r="G19" s="1"/>
      <c r="H19" s="1"/>
      <c r="I19" s="1"/>
      <c r="J19" s="1"/>
    </row>
    <row r="20" spans="1:10" x14ac:dyDescent="0.35">
      <c r="A20" s="25" t="s">
        <v>96</v>
      </c>
      <c r="B20" s="24">
        <f>B18+B19</f>
        <v>239382.61461538461</v>
      </c>
      <c r="C20" s="1"/>
      <c r="D20" s="1"/>
      <c r="E20" s="1"/>
      <c r="F20" s="1"/>
      <c r="G20" s="1"/>
      <c r="H20" s="1"/>
      <c r="I20" s="1"/>
      <c r="J20" s="1"/>
    </row>
    <row r="21" spans="1:10" x14ac:dyDescent="0.35">
      <c r="A21" s="7"/>
      <c r="B21" s="28"/>
      <c r="C21" s="1"/>
      <c r="D21" s="1"/>
      <c r="E21" s="1"/>
      <c r="F21" s="1"/>
      <c r="G21" s="1"/>
      <c r="H21" s="1"/>
      <c r="I21" s="1"/>
      <c r="J21" s="1"/>
    </row>
    <row r="22" spans="1:10" x14ac:dyDescent="0.35">
      <c r="A22" s="7" t="s">
        <v>97</v>
      </c>
      <c r="B22" s="12">
        <f>B14-B20</f>
        <v>110617.38538461539</v>
      </c>
      <c r="C22" s="1"/>
      <c r="D22" s="1"/>
      <c r="E22" s="1"/>
      <c r="F22" s="1"/>
      <c r="G22" s="1"/>
      <c r="H22" s="1"/>
      <c r="I22" s="1"/>
      <c r="J22" s="1"/>
    </row>
    <row r="23" spans="1:10" x14ac:dyDescent="0.35">
      <c r="A23" s="27" t="s">
        <v>98</v>
      </c>
      <c r="B23" s="38">
        <f>B22/B14</f>
        <v>0.31604967252747257</v>
      </c>
      <c r="C23" s="1"/>
      <c r="D23" s="1"/>
      <c r="E23" s="1"/>
      <c r="F23" s="1"/>
      <c r="G23" s="1"/>
      <c r="H23" s="1"/>
      <c r="I23" s="1"/>
      <c r="J23" s="1"/>
    </row>
    <row r="24" spans="1:10" x14ac:dyDescent="0.35">
      <c r="A24" s="7" t="s">
        <v>99</v>
      </c>
      <c r="B24" s="12">
        <f>B14-B18</f>
        <v>158493.90830769233</v>
      </c>
      <c r="C24" s="1"/>
      <c r="D24" s="1"/>
      <c r="E24" s="1"/>
      <c r="F24" s="1"/>
      <c r="G24" s="1"/>
      <c r="H24" s="1"/>
      <c r="I24" s="1"/>
      <c r="J24" s="1"/>
    </row>
    <row r="25" spans="1:10" x14ac:dyDescent="0.35">
      <c r="A25" s="27" t="s">
        <v>100</v>
      </c>
      <c r="B25" s="38">
        <f>B24/B14</f>
        <v>0.45283973802197808</v>
      </c>
      <c r="C25" s="1"/>
      <c r="D25" s="1"/>
      <c r="E25" s="1"/>
      <c r="F25" s="1"/>
      <c r="G25" s="1"/>
      <c r="H25" s="1"/>
      <c r="I25" s="1"/>
      <c r="J25" s="1"/>
    </row>
    <row r="26" spans="1:10" x14ac:dyDescent="0.35">
      <c r="A26" s="7"/>
      <c r="B26" s="28"/>
      <c r="C26" s="1"/>
      <c r="D26" s="1"/>
      <c r="E26" s="1"/>
      <c r="F26" s="1"/>
      <c r="G26" s="1"/>
      <c r="H26" s="1"/>
      <c r="I26" s="1"/>
      <c r="J26" s="1"/>
    </row>
    <row r="27" spans="1:10" x14ac:dyDescent="0.35">
      <c r="A27" s="7" t="s">
        <v>101</v>
      </c>
      <c r="B27" s="28" t="str">
        <f>IF(B23&gt;=Inputs!B51,"YES","NO")</f>
        <v>YES</v>
      </c>
      <c r="C27" s="1"/>
      <c r="D27" s="1"/>
      <c r="E27" s="1"/>
      <c r="F27" s="1"/>
      <c r="G27" s="1"/>
      <c r="H27" s="1"/>
      <c r="I27" s="1"/>
      <c r="J27" s="1"/>
    </row>
    <row r="28" spans="1:10" x14ac:dyDescent="0.35">
      <c r="A28" s="7" t="s">
        <v>102</v>
      </c>
      <c r="B28" s="28" t="str">
        <f>IF(B25&gt;=Inputs!B51,"YES","NO")</f>
        <v>YES</v>
      </c>
      <c r="C28" s="1"/>
      <c r="D28" s="1"/>
      <c r="E28" s="1"/>
      <c r="F28" s="1"/>
      <c r="G28" s="1"/>
      <c r="H28" s="1"/>
      <c r="I28" s="1"/>
      <c r="J28" s="1"/>
    </row>
    <row r="29" spans="1:1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" x14ac:dyDescent="0.4">
      <c r="A31" s="39" t="s">
        <v>103</v>
      </c>
      <c r="B31" s="39"/>
      <c r="C31" s="1"/>
      <c r="D31" s="1"/>
      <c r="E31" s="1"/>
      <c r="F31" s="1"/>
      <c r="G31" s="1"/>
      <c r="H31" s="1"/>
      <c r="I31" s="1"/>
      <c r="J31" s="1"/>
    </row>
    <row r="32" spans="1:10" x14ac:dyDescent="0.35">
      <c r="A32" s="7" t="s">
        <v>104</v>
      </c>
      <c r="B32" s="12">
        <f>B18/Inputs!B25</f>
        <v>1595.8840974358973</v>
      </c>
      <c r="C32" s="1"/>
      <c r="D32" s="1"/>
      <c r="E32" s="1"/>
      <c r="F32" s="1"/>
      <c r="G32" s="1"/>
      <c r="H32" s="1"/>
      <c r="I32" s="1"/>
      <c r="J32" s="1"/>
    </row>
    <row r="33" spans="1:10" x14ac:dyDescent="0.35">
      <c r="A33" s="7" t="s">
        <v>105</v>
      </c>
      <c r="B33" s="12">
        <f>B20/Inputs!B25</f>
        <v>1994.8551217948718</v>
      </c>
      <c r="C33" s="1"/>
      <c r="D33" s="1"/>
      <c r="E33" s="1"/>
      <c r="F33" s="1"/>
      <c r="G33" s="1"/>
      <c r="H33" s="1"/>
      <c r="I33" s="1"/>
      <c r="J33" s="1"/>
    </row>
    <row r="34" spans="1:10" x14ac:dyDescent="0.35">
      <c r="A34" s="7" t="s">
        <v>106</v>
      </c>
      <c r="B34" s="12">
        <f>B14/Inputs!B25</f>
        <v>2916.6666666666665</v>
      </c>
      <c r="C34" s="1"/>
      <c r="D34" s="1"/>
      <c r="E34" s="1"/>
      <c r="F34" s="1"/>
      <c r="G34" s="1"/>
      <c r="H34" s="1"/>
      <c r="I34" s="1"/>
      <c r="J34" s="1"/>
    </row>
    <row r="35" spans="1:10" x14ac:dyDescent="0.35">
      <c r="A35" s="7" t="s">
        <v>107</v>
      </c>
      <c r="B35" s="12">
        <f>B34-B33</f>
        <v>921.81154487179469</v>
      </c>
      <c r="C35" s="1"/>
      <c r="D35" s="1"/>
      <c r="E35" s="1"/>
      <c r="F35" s="1"/>
      <c r="G35" s="1"/>
      <c r="H35" s="1"/>
      <c r="I35" s="1"/>
      <c r="J35" s="1"/>
    </row>
    <row r="36" spans="1:1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" x14ac:dyDescent="0.4">
      <c r="A38" s="39" t="s">
        <v>108</v>
      </c>
      <c r="B38" s="39"/>
      <c r="C38" s="1"/>
      <c r="D38" s="1"/>
      <c r="E38" s="1"/>
      <c r="F38" s="1"/>
      <c r="G38" s="1"/>
      <c r="H38" s="1"/>
      <c r="I38" s="1"/>
      <c r="J38" s="1"/>
    </row>
    <row r="39" spans="1:10" x14ac:dyDescent="0.35">
      <c r="A39" s="7" t="s">
        <v>109</v>
      </c>
      <c r="B39" s="19">
        <f>1+Inputs!C60</f>
        <v>8</v>
      </c>
      <c r="C39" s="1"/>
      <c r="D39" s="1"/>
      <c r="E39" s="1"/>
      <c r="F39" s="1"/>
      <c r="G39" s="1"/>
      <c r="H39" s="1"/>
      <c r="I39" s="1"/>
      <c r="J39" s="1"/>
    </row>
    <row r="40" spans="1:10" x14ac:dyDescent="0.35">
      <c r="A40" s="7" t="s">
        <v>110</v>
      </c>
      <c r="B40" s="19">
        <f>2+Inputs!C56</f>
        <v>4</v>
      </c>
      <c r="C40" s="1"/>
      <c r="D40" s="1"/>
      <c r="E40" s="1"/>
      <c r="F40" s="1"/>
      <c r="G40" s="1"/>
      <c r="H40" s="1"/>
      <c r="I40" s="1"/>
      <c r="J40" s="1"/>
    </row>
    <row r="41" spans="1:10" x14ac:dyDescent="0.35">
      <c r="A41" s="7" t="s">
        <v>111</v>
      </c>
      <c r="B41" s="12">
        <f>MAX(B9:I9)</f>
        <v>27259.112000000001</v>
      </c>
      <c r="C41" s="1"/>
      <c r="D41" s="1"/>
      <c r="E41" s="1"/>
      <c r="F41" s="1"/>
      <c r="G41" s="1"/>
      <c r="H41" s="1"/>
      <c r="I41" s="1"/>
      <c r="J41" s="1"/>
    </row>
    <row r="42" spans="1:10" x14ac:dyDescent="0.35">
      <c r="A42" s="7" t="s">
        <v>112</v>
      </c>
      <c r="B42" s="12">
        <f>J9/B39</f>
        <v>23000.761461538459</v>
      </c>
      <c r="C42" s="1"/>
      <c r="D42" s="1"/>
      <c r="E42" s="1"/>
      <c r="F42" s="1"/>
      <c r="G42" s="1"/>
      <c r="H42" s="1"/>
      <c r="I42" s="1"/>
      <c r="J42" s="1"/>
    </row>
    <row r="43" spans="1:1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5">
    <mergeCell ref="A1:J1"/>
    <mergeCell ref="A2:J2"/>
    <mergeCell ref="A13:B13"/>
    <mergeCell ref="A31:B31"/>
    <mergeCell ref="A38:B38"/>
  </mergeCells>
  <pageMargins left="0.5" right="0.5" top="0.5" bottom="0.5" header="0.25" footer="0.25"/>
  <pageSetup paperSize="0" scale="0" orientation="landscape" horizontalDpi="0" verticalDpi="0" copies="0"/>
  <headerFooter>
    <oddHeader>&amp;LBayOne Solutions — Confidential&amp;C&amp;A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4C81-C630-469F-9DFF-26D83C4EE55B}">
  <sheetPr>
    <tabColor rgb="FF92400E"/>
  </sheetPr>
  <dimension ref="A1:G25"/>
  <sheetViews>
    <sheetView workbookViewId="0">
      <selection activeCell="C5" sqref="C5"/>
    </sheetView>
  </sheetViews>
  <sheetFormatPr defaultRowHeight="14.5" x14ac:dyDescent="0.35"/>
  <cols>
    <col min="1" max="1" width="36.36328125" customWidth="1"/>
    <col min="2" max="2" width="16.36328125" customWidth="1"/>
    <col min="3" max="3" width="23.6328125" customWidth="1"/>
    <col min="4" max="4" width="21.81640625" customWidth="1"/>
    <col min="5" max="5" width="23.6328125" customWidth="1"/>
    <col min="6" max="7" width="21.81640625" customWidth="1"/>
  </cols>
  <sheetData>
    <row r="1" spans="1:7" ht="30" customHeight="1" x14ac:dyDescent="0.45">
      <c r="A1" s="40" t="s">
        <v>118</v>
      </c>
      <c r="B1" s="40"/>
      <c r="C1" s="40"/>
      <c r="D1" s="40"/>
      <c r="E1" s="40"/>
      <c r="F1" s="40"/>
      <c r="G1" s="40"/>
    </row>
    <row r="2" spans="1:7" x14ac:dyDescent="0.35">
      <c r="A2" s="1"/>
      <c r="B2" s="1"/>
      <c r="C2" s="1"/>
      <c r="D2" s="1"/>
      <c r="E2" s="1"/>
      <c r="F2" s="1"/>
      <c r="G2" s="1"/>
    </row>
    <row r="3" spans="1:7" x14ac:dyDescent="0.35">
      <c r="A3" s="23" t="s">
        <v>119</v>
      </c>
      <c r="B3" s="17">
        <f>'Scenario B'!B18</f>
        <v>191506.09169230767</v>
      </c>
      <c r="C3" s="1"/>
      <c r="D3" s="1"/>
      <c r="E3" s="1"/>
      <c r="F3" s="1"/>
      <c r="G3" s="1"/>
    </row>
    <row r="4" spans="1:7" x14ac:dyDescent="0.35">
      <c r="A4" s="23" t="s">
        <v>120</v>
      </c>
      <c r="B4" s="17">
        <f>'Scenario B'!B20</f>
        <v>239382.61461538461</v>
      </c>
      <c r="C4" s="1"/>
      <c r="D4" s="1"/>
      <c r="E4" s="1"/>
      <c r="F4" s="1"/>
      <c r="G4" s="1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9" t="s">
        <v>121</v>
      </c>
      <c r="B6" s="9" t="s">
        <v>122</v>
      </c>
      <c r="C6" s="9" t="s">
        <v>123</v>
      </c>
      <c r="D6" s="9" t="s">
        <v>124</v>
      </c>
      <c r="E6" s="9" t="s">
        <v>125</v>
      </c>
      <c r="F6" s="9" t="s">
        <v>126</v>
      </c>
      <c r="G6" s="9" t="s">
        <v>127</v>
      </c>
    </row>
    <row r="7" spans="1:7" x14ac:dyDescent="0.35">
      <c r="A7" s="12">
        <f>Inputs!B24*(1-0)</f>
        <v>350000</v>
      </c>
      <c r="B7" s="29">
        <v>0</v>
      </c>
      <c r="C7" s="12">
        <f t="shared" ref="C7:C13" si="0">A7-$B$4</f>
        <v>110617.38538461539</v>
      </c>
      <c r="D7" s="29">
        <f t="shared" ref="D7:D13" si="1">C7/A7</f>
        <v>0.31604967252747257</v>
      </c>
      <c r="E7" s="12">
        <f t="shared" ref="E7:E13" si="2">A7-$B$3</f>
        <v>158493.90830769233</v>
      </c>
      <c r="F7" s="29">
        <f t="shared" ref="F7:F13" si="3">E7/A7</f>
        <v>0.45283973802197808</v>
      </c>
      <c r="G7" s="28" t="str">
        <f>IF(D7&gt;=Inputs!B51,"SAFE","BELOW FLOOR")</f>
        <v>SAFE</v>
      </c>
    </row>
    <row r="8" spans="1:7" x14ac:dyDescent="0.35">
      <c r="A8" s="12">
        <f>Inputs!B24*(1-0.05)</f>
        <v>332500</v>
      </c>
      <c r="B8" s="29">
        <v>0.05</v>
      </c>
      <c r="C8" s="12">
        <f t="shared" si="0"/>
        <v>93117.385384615394</v>
      </c>
      <c r="D8" s="29">
        <f t="shared" si="1"/>
        <v>0.28005228687102374</v>
      </c>
      <c r="E8" s="12">
        <f t="shared" si="2"/>
        <v>140993.90830769233</v>
      </c>
      <c r="F8" s="29">
        <f t="shared" si="3"/>
        <v>0.42404182949681901</v>
      </c>
      <c r="G8" s="28" t="str">
        <f>IF(D8&gt;=Inputs!B51,"SAFE","BELOW FLOOR")</f>
        <v>BELOW FLOOR</v>
      </c>
    </row>
    <row r="9" spans="1:7" x14ac:dyDescent="0.35">
      <c r="A9" s="12">
        <f>Inputs!B24*(1-0.1)</f>
        <v>315000</v>
      </c>
      <c r="B9" s="29">
        <v>0.1</v>
      </c>
      <c r="C9" s="12">
        <f t="shared" si="0"/>
        <v>75617.385384615394</v>
      </c>
      <c r="D9" s="29">
        <f t="shared" si="1"/>
        <v>0.24005519169719172</v>
      </c>
      <c r="E9" s="12">
        <f t="shared" si="2"/>
        <v>123493.90830769233</v>
      </c>
      <c r="F9" s="29">
        <f t="shared" si="3"/>
        <v>0.39204415335775344</v>
      </c>
      <c r="G9" s="28" t="str">
        <f>IF(D9&gt;=Inputs!B51,"SAFE","BELOW FLOOR")</f>
        <v>BELOW FLOOR</v>
      </c>
    </row>
    <row r="10" spans="1:7" x14ac:dyDescent="0.35">
      <c r="A10" s="12">
        <f>Inputs!B24*(1-0.15)</f>
        <v>297500</v>
      </c>
      <c r="B10" s="29">
        <v>0.15</v>
      </c>
      <c r="C10" s="12">
        <f t="shared" si="0"/>
        <v>58117.385384615394</v>
      </c>
      <c r="D10" s="29">
        <f t="shared" si="1"/>
        <v>0.1953525559146736</v>
      </c>
      <c r="E10" s="12">
        <f t="shared" si="2"/>
        <v>105993.90830769233</v>
      </c>
      <c r="F10" s="29">
        <f t="shared" si="3"/>
        <v>0.35628204473173891</v>
      </c>
      <c r="G10" s="28" t="str">
        <f>IF(D10&gt;=Inputs!B51,"SAFE","BELOW FLOOR")</f>
        <v>BELOW FLOOR</v>
      </c>
    </row>
    <row r="11" spans="1:7" x14ac:dyDescent="0.35">
      <c r="A11" s="12">
        <f>Inputs!B24*(1-0.2)</f>
        <v>280000</v>
      </c>
      <c r="B11" s="29">
        <v>0.2</v>
      </c>
      <c r="C11" s="12">
        <f t="shared" si="0"/>
        <v>40617.385384615394</v>
      </c>
      <c r="D11" s="29">
        <f t="shared" si="1"/>
        <v>0.1450620906593407</v>
      </c>
      <c r="E11" s="12">
        <f t="shared" si="2"/>
        <v>88493.908307692327</v>
      </c>
      <c r="F11" s="29">
        <f t="shared" si="3"/>
        <v>0.31604967252747257</v>
      </c>
      <c r="G11" s="28" t="str">
        <f>IF(D11&gt;=Inputs!B51,"SAFE","BELOW FLOOR")</f>
        <v>BELOW FLOOR</v>
      </c>
    </row>
    <row r="12" spans="1:7" x14ac:dyDescent="0.35">
      <c r="A12" s="12">
        <f>Inputs!B24*(1-0.25)</f>
        <v>262500</v>
      </c>
      <c r="B12" s="29">
        <v>0.25</v>
      </c>
      <c r="C12" s="12">
        <f t="shared" si="0"/>
        <v>23117.385384615394</v>
      </c>
      <c r="D12" s="29">
        <f t="shared" si="1"/>
        <v>8.8066230036630069E-2</v>
      </c>
      <c r="E12" s="12">
        <f t="shared" si="2"/>
        <v>70993.908307692327</v>
      </c>
      <c r="F12" s="29">
        <f t="shared" si="3"/>
        <v>0.27045298402930412</v>
      </c>
      <c r="G12" s="28" t="str">
        <f>IF(D12&gt;=Inputs!B51,"SAFE","BELOW FLOOR")</f>
        <v>BELOW FLOOR</v>
      </c>
    </row>
    <row r="13" spans="1:7" x14ac:dyDescent="0.35">
      <c r="A13" s="12">
        <f>Inputs!B24*(1-0.3)</f>
        <v>244999.99999999997</v>
      </c>
      <c r="B13" s="29">
        <v>0.3</v>
      </c>
      <c r="C13" s="12">
        <f t="shared" si="0"/>
        <v>5617.3853846153652</v>
      </c>
      <c r="D13" s="29">
        <f t="shared" si="1"/>
        <v>2.2928103610674964E-2</v>
      </c>
      <c r="E13" s="12">
        <f t="shared" si="2"/>
        <v>53493.908307692298</v>
      </c>
      <c r="F13" s="29">
        <f t="shared" si="3"/>
        <v>0.21834248288854002</v>
      </c>
      <c r="G13" s="28" t="str">
        <f>IF(D13&gt;=Inputs!B51,"SAFE","BELOW FLOOR")</f>
        <v>BELOW FLOOR</v>
      </c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ht="16" x14ac:dyDescent="0.4">
      <c r="A16" s="39" t="s">
        <v>128</v>
      </c>
      <c r="B16" s="39"/>
      <c r="C16" s="1"/>
      <c r="D16" s="1"/>
      <c r="E16" s="1"/>
      <c r="F16" s="1"/>
      <c r="G16" s="1"/>
    </row>
    <row r="17" spans="1:7" x14ac:dyDescent="0.35">
      <c r="A17" s="7" t="s">
        <v>129</v>
      </c>
      <c r="B17" s="12">
        <f>B4/(1-Inputs!B51)</f>
        <v>341975.16373626376</v>
      </c>
      <c r="C17" s="1"/>
      <c r="D17" s="1"/>
      <c r="E17" s="1"/>
      <c r="F17" s="1"/>
      <c r="G17" s="1"/>
    </row>
    <row r="18" spans="1:7" x14ac:dyDescent="0.35">
      <c r="A18" s="7" t="s">
        <v>130</v>
      </c>
      <c r="B18" s="29">
        <f>1-(B17/Inputs!B24)</f>
        <v>2.2928103610674988E-2</v>
      </c>
      <c r="C18" s="1"/>
      <c r="D18" s="1"/>
      <c r="E18" s="1"/>
      <c r="F18" s="1"/>
      <c r="G18" s="1"/>
    </row>
    <row r="19" spans="1:7" x14ac:dyDescent="0.35">
      <c r="A19" s="7" t="s">
        <v>131</v>
      </c>
      <c r="B19" s="12">
        <f>B3/(1-Inputs!B51)</f>
        <v>273580.13098901097</v>
      </c>
      <c r="C19" s="1"/>
      <c r="D19" s="1"/>
      <c r="E19" s="1"/>
      <c r="F19" s="1"/>
      <c r="G19" s="1"/>
    </row>
    <row r="20" spans="1:7" x14ac:dyDescent="0.35">
      <c r="A20" s="7" t="s">
        <v>132</v>
      </c>
      <c r="B20" s="29">
        <f>1-(B19/Inputs!B24)</f>
        <v>0.21834248288854008</v>
      </c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  <row r="23" spans="1:7" x14ac:dyDescent="0.35">
      <c r="A23" s="1"/>
      <c r="B23" s="1"/>
      <c r="C23" s="1"/>
      <c r="D23" s="1"/>
      <c r="E23" s="1"/>
      <c r="F23" s="1"/>
      <c r="G23" s="1"/>
    </row>
    <row r="24" spans="1:7" x14ac:dyDescent="0.35">
      <c r="A24" s="1"/>
      <c r="B24" s="1"/>
      <c r="C24" s="1"/>
      <c r="D24" s="1"/>
      <c r="E24" s="1"/>
      <c r="F24" s="1"/>
      <c r="G24" s="1"/>
    </row>
    <row r="25" spans="1:7" x14ac:dyDescent="0.35">
      <c r="A25" s="1"/>
      <c r="B25" s="1"/>
      <c r="C25" s="1"/>
      <c r="D25" s="1"/>
      <c r="E25" s="1"/>
      <c r="F25" s="1"/>
      <c r="G25" s="1"/>
    </row>
  </sheetData>
  <mergeCells count="2">
    <mergeCell ref="A1:G1"/>
    <mergeCell ref="A16:B16"/>
  </mergeCells>
  <conditionalFormatting sqref="A7:G13">
    <cfRule type="expression" priority="1"/>
  </conditionalFormatting>
  <pageMargins left="0.5" right="0.5" top="0.5" bottom="0.5" header="0.25" footer="0.25"/>
  <pageSetup paperSize="0" scale="0" orientation="landscape" horizontalDpi="0" verticalDpi="0" copies="0"/>
  <headerFooter>
    <oddHeader>&amp;LBayOne Solutions — Confidential&amp;C&amp;A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C350-89CE-4D69-B013-4166EF3D27F2}">
  <sheetPr>
    <tabColor rgb="FF2E1065"/>
  </sheetPr>
  <dimension ref="A1:D20"/>
  <sheetViews>
    <sheetView workbookViewId="0">
      <selection activeCell="C5" sqref="C5"/>
    </sheetView>
  </sheetViews>
  <sheetFormatPr defaultRowHeight="14.5" x14ac:dyDescent="0.35"/>
  <cols>
    <col min="1" max="1" width="32.7265625" customWidth="1"/>
    <col min="2" max="3" width="23.6328125" customWidth="1"/>
    <col min="4" max="4" width="25.453125" customWidth="1"/>
  </cols>
  <sheetData>
    <row r="1" spans="1:4" ht="30" customHeight="1" x14ac:dyDescent="0.45">
      <c r="A1" s="40" t="s">
        <v>133</v>
      </c>
      <c r="B1" s="40"/>
      <c r="C1" s="40"/>
      <c r="D1" s="40"/>
    </row>
    <row r="2" spans="1:4" x14ac:dyDescent="0.35">
      <c r="A2" s="1"/>
      <c r="B2" s="1"/>
      <c r="C2" s="1"/>
      <c r="D2" s="1"/>
    </row>
    <row r="3" spans="1:4" x14ac:dyDescent="0.35">
      <c r="A3" s="33" t="s">
        <v>134</v>
      </c>
      <c r="B3" s="31" t="s">
        <v>73</v>
      </c>
      <c r="C3" s="32" t="s">
        <v>74</v>
      </c>
      <c r="D3" s="35" t="s">
        <v>135</v>
      </c>
    </row>
    <row r="4" spans="1:4" x14ac:dyDescent="0.35">
      <c r="A4" s="34" t="s">
        <v>49</v>
      </c>
      <c r="B4" s="30">
        <f>'Scenario A'!B14</f>
        <v>350000</v>
      </c>
      <c r="C4" s="30">
        <f>'Scenario B'!B14</f>
        <v>350000</v>
      </c>
      <c r="D4" s="30">
        <f>'Discount Analysis'!B17</f>
        <v>341975.16373626376</v>
      </c>
    </row>
    <row r="5" spans="1:4" x14ac:dyDescent="0.35">
      <c r="A5" s="7" t="s">
        <v>94</v>
      </c>
      <c r="B5" s="12">
        <f>'Scenario A'!B18</f>
        <v>138006.09169230767</v>
      </c>
      <c r="C5" s="12">
        <f>'Scenario B'!B18</f>
        <v>191506.09169230767</v>
      </c>
      <c r="D5" s="12">
        <f>'Scenario B'!B18</f>
        <v>191506.09169230767</v>
      </c>
    </row>
    <row r="6" spans="1:4" x14ac:dyDescent="0.35">
      <c r="A6" s="7" t="s">
        <v>95</v>
      </c>
      <c r="B6" s="12">
        <f>'Scenario A'!B19</f>
        <v>34501.522923076918</v>
      </c>
      <c r="C6" s="12">
        <f>'Scenario B'!B19</f>
        <v>47876.522923076918</v>
      </c>
      <c r="D6" s="12">
        <f>'Scenario B'!B19</f>
        <v>47876.522923076918</v>
      </c>
    </row>
    <row r="7" spans="1:4" x14ac:dyDescent="0.35">
      <c r="A7" s="34" t="s">
        <v>96</v>
      </c>
      <c r="B7" s="30">
        <f>'Scenario A'!B20</f>
        <v>172507.61461538461</v>
      </c>
      <c r="C7" s="30">
        <f>'Scenario B'!B20</f>
        <v>239382.61461538461</v>
      </c>
      <c r="D7" s="30">
        <f>'Scenario B'!B20</f>
        <v>239382.61461538461</v>
      </c>
    </row>
    <row r="8" spans="1:4" x14ac:dyDescent="0.35">
      <c r="A8" s="27" t="s">
        <v>124</v>
      </c>
      <c r="B8" s="38">
        <f>'Scenario A'!B23</f>
        <v>0.50712110109890107</v>
      </c>
      <c r="C8" s="38">
        <f>'Scenario B'!B23</f>
        <v>0.31604967252747257</v>
      </c>
      <c r="D8" s="38">
        <f>(D4-D7)/D4</f>
        <v>0.30000000000000004</v>
      </c>
    </row>
    <row r="9" spans="1:4" x14ac:dyDescent="0.35">
      <c r="A9" s="7" t="s">
        <v>126</v>
      </c>
      <c r="B9" s="29">
        <f>'Scenario A'!B25</f>
        <v>0.60569688087912088</v>
      </c>
      <c r="C9" s="29">
        <f>'Scenario B'!B25</f>
        <v>0.45283973802197808</v>
      </c>
      <c r="D9" s="29">
        <f>(D4-D5)/D4</f>
        <v>0.44000000000000011</v>
      </c>
    </row>
    <row r="10" spans="1:4" x14ac:dyDescent="0.35">
      <c r="A10" s="7" t="s">
        <v>136</v>
      </c>
      <c r="B10" s="19">
        <f>'Scenario A'!B39</f>
        <v>4</v>
      </c>
      <c r="C10" s="19">
        <f>'Scenario B'!B39</f>
        <v>8</v>
      </c>
      <c r="D10" s="19">
        <f>'Scenario B'!B39</f>
        <v>8</v>
      </c>
    </row>
    <row r="11" spans="1:4" x14ac:dyDescent="0.35">
      <c r="A11" s="7" t="s">
        <v>110</v>
      </c>
      <c r="B11" s="19">
        <f>'Scenario A'!B40</f>
        <v>7</v>
      </c>
      <c r="C11" s="19">
        <f>'Scenario B'!B40</f>
        <v>4</v>
      </c>
      <c r="D11" s="19">
        <f>'Scenario B'!B40</f>
        <v>4</v>
      </c>
    </row>
    <row r="12" spans="1:4" x14ac:dyDescent="0.35">
      <c r="A12" s="7" t="s">
        <v>105</v>
      </c>
      <c r="B12" s="12">
        <f>'Scenario A'!B33</f>
        <v>1437.5634551282051</v>
      </c>
      <c r="C12" s="12">
        <f>'Scenario B'!B33</f>
        <v>1994.8551217948718</v>
      </c>
      <c r="D12" s="12">
        <f>'Scenario B'!B33</f>
        <v>1994.8551217948718</v>
      </c>
    </row>
    <row r="13" spans="1:4" x14ac:dyDescent="0.35">
      <c r="A13" s="7" t="s">
        <v>106</v>
      </c>
      <c r="B13" s="12">
        <f>'Scenario A'!B34</f>
        <v>2916.6666666666665</v>
      </c>
      <c r="C13" s="12">
        <f>'Scenario B'!B34</f>
        <v>2916.6666666666665</v>
      </c>
      <c r="D13" s="12">
        <f>D4/Inputs!B25</f>
        <v>2849.7930311355312</v>
      </c>
    </row>
    <row r="14" spans="1:4" x14ac:dyDescent="0.35">
      <c r="A14" s="7" t="s">
        <v>112</v>
      </c>
      <c r="B14" s="12">
        <f>'Scenario A'!B42</f>
        <v>33251.522923076918</v>
      </c>
      <c r="C14" s="12">
        <f>'Scenario B'!B42</f>
        <v>23000.761461538459</v>
      </c>
      <c r="D14" s="12">
        <f>'Scenario B'!B42</f>
        <v>23000.761461538459</v>
      </c>
    </row>
    <row r="15" spans="1:4" x14ac:dyDescent="0.35">
      <c r="A15" s="7" t="s">
        <v>101</v>
      </c>
      <c r="B15" s="28" t="str">
        <f>'Scenario A'!B27</f>
        <v>YES</v>
      </c>
      <c r="C15" s="28" t="str">
        <f>'Scenario B'!B27</f>
        <v>YES</v>
      </c>
      <c r="D15" s="28" t="str">
        <f>IF(D8&gt;=Inputs!B51,"YES","NO")</f>
        <v>YES</v>
      </c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</sheetData>
  <mergeCells count="1">
    <mergeCell ref="A1:D1"/>
  </mergeCells>
  <pageMargins left="0.5" right="0.5" top="0.5" bottom="0.5" header="0.25" footer="0.25"/>
  <pageSetup paperSize="0" scale="0" orientation="landscape" horizontalDpi="0" verticalDpi="0" copies="0"/>
  <headerFooter>
    <oddHeader>&amp;LBayOne Solutions — Confidential&amp;C&amp;A</oddHead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3774-88C7-41BA-943B-D079AEC99C90}">
  <sheetPr>
    <tabColor rgb="FF059669"/>
  </sheetPr>
  <dimension ref="A1:C25"/>
  <sheetViews>
    <sheetView workbookViewId="0">
      <selection activeCell="C5" sqref="C5"/>
    </sheetView>
  </sheetViews>
  <sheetFormatPr defaultRowHeight="14.5" x14ac:dyDescent="0.35"/>
  <cols>
    <col min="1" max="1" width="40" customWidth="1"/>
    <col min="2" max="3" width="23.6328125" customWidth="1"/>
  </cols>
  <sheetData>
    <row r="1" spans="1:3" ht="30" customHeight="1" x14ac:dyDescent="0.45">
      <c r="A1" s="40" t="s">
        <v>137</v>
      </c>
      <c r="B1" s="40"/>
      <c r="C1" s="40"/>
    </row>
    <row r="2" spans="1:3" x14ac:dyDescent="0.35">
      <c r="A2" s="1"/>
      <c r="B2" s="1"/>
      <c r="C2" s="1"/>
    </row>
    <row r="3" spans="1:3" ht="16" x14ac:dyDescent="0.4">
      <c r="A3" s="39" t="s">
        <v>138</v>
      </c>
      <c r="B3" s="39"/>
      <c r="C3" s="42"/>
    </row>
    <row r="4" spans="1:3" x14ac:dyDescent="0.35">
      <c r="A4" s="7" t="s">
        <v>139</v>
      </c>
      <c r="B4" s="19">
        <f>Inputs!B25</f>
        <v>120</v>
      </c>
      <c r="C4" s="1"/>
    </row>
    <row r="5" spans="1:3" x14ac:dyDescent="0.35">
      <c r="A5" s="7" t="s">
        <v>140</v>
      </c>
      <c r="B5" s="19">
        <f>Inputs!B26</f>
        <v>10</v>
      </c>
      <c r="C5" s="1"/>
    </row>
    <row r="6" spans="1:3" x14ac:dyDescent="0.35">
      <c r="A6" s="7" t="s">
        <v>141</v>
      </c>
      <c r="B6" s="36">
        <f>Inputs!B27</f>
        <v>1200</v>
      </c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ht="16" x14ac:dyDescent="0.4">
      <c r="A9" s="43" t="s">
        <v>142</v>
      </c>
      <c r="B9" s="43"/>
      <c r="C9" s="1"/>
    </row>
    <row r="10" spans="1:3" x14ac:dyDescent="0.35">
      <c r="A10" s="7" t="s">
        <v>76</v>
      </c>
      <c r="B10" s="19">
        <f>Inputs!B56</f>
        <v>5</v>
      </c>
      <c r="C10" s="1"/>
    </row>
    <row r="11" spans="1:3" x14ac:dyDescent="0.35">
      <c r="A11" s="7" t="s">
        <v>143</v>
      </c>
      <c r="B11" s="16">
        <f>Inputs!B20</f>
        <v>173.33</v>
      </c>
      <c r="C11" s="1"/>
    </row>
    <row r="12" spans="1:3" x14ac:dyDescent="0.35">
      <c r="A12" s="7" t="s">
        <v>144</v>
      </c>
      <c r="B12" s="19">
        <f>Inputs!B58</f>
        <v>2</v>
      </c>
      <c r="C12" s="1"/>
    </row>
    <row r="13" spans="1:3" x14ac:dyDescent="0.35">
      <c r="A13" s="27" t="s">
        <v>145</v>
      </c>
      <c r="B13" s="37">
        <f>B10*B11*B12</f>
        <v>1733.3000000000002</v>
      </c>
      <c r="C13" s="1"/>
    </row>
    <row r="14" spans="1:3" x14ac:dyDescent="0.35">
      <c r="A14" s="7" t="s">
        <v>146</v>
      </c>
      <c r="B14" s="19">
        <f>B13/B5</f>
        <v>173.33</v>
      </c>
      <c r="C14" s="1"/>
    </row>
    <row r="15" spans="1:3" x14ac:dyDescent="0.35">
      <c r="A15" s="27" t="s">
        <v>147</v>
      </c>
      <c r="B15" s="38">
        <f>B4/B14</f>
        <v>0.69232100617319559</v>
      </c>
      <c r="C15" s="1"/>
    </row>
    <row r="16" spans="1:3" x14ac:dyDescent="0.35">
      <c r="A16" s="1"/>
      <c r="B16" s="1"/>
      <c r="C16" s="1"/>
    </row>
    <row r="17" spans="1:3" x14ac:dyDescent="0.35">
      <c r="A17" s="1"/>
      <c r="B17" s="1"/>
      <c r="C17" s="1"/>
    </row>
    <row r="18" spans="1:3" ht="16" x14ac:dyDescent="0.4">
      <c r="A18" s="44" t="s">
        <v>148</v>
      </c>
      <c r="B18" s="44"/>
      <c r="C18" s="1"/>
    </row>
    <row r="19" spans="1:3" x14ac:dyDescent="0.35">
      <c r="A19" s="7" t="s">
        <v>76</v>
      </c>
      <c r="B19" s="19">
        <f>Inputs!C56</f>
        <v>2</v>
      </c>
      <c r="C19" s="1"/>
    </row>
    <row r="20" spans="1:3" x14ac:dyDescent="0.35">
      <c r="A20" s="7" t="s">
        <v>143</v>
      </c>
      <c r="B20" s="16">
        <f>Inputs!B20</f>
        <v>173.33</v>
      </c>
      <c r="C20" s="1"/>
    </row>
    <row r="21" spans="1:3" x14ac:dyDescent="0.35">
      <c r="A21" s="7" t="s">
        <v>144</v>
      </c>
      <c r="B21" s="19">
        <f>Inputs!C58</f>
        <v>5</v>
      </c>
      <c r="C21" s="1"/>
    </row>
    <row r="22" spans="1:3" x14ac:dyDescent="0.35">
      <c r="A22" s="27" t="s">
        <v>145</v>
      </c>
      <c r="B22" s="37">
        <f>B19*B20*B21</f>
        <v>1733.3000000000002</v>
      </c>
      <c r="C22" s="1"/>
    </row>
    <row r="23" spans="1:3" x14ac:dyDescent="0.35">
      <c r="A23" s="7" t="s">
        <v>146</v>
      </c>
      <c r="B23" s="19">
        <f>B22/B5</f>
        <v>173.33</v>
      </c>
      <c r="C23" s="1"/>
    </row>
    <row r="24" spans="1:3" x14ac:dyDescent="0.35">
      <c r="A24" s="27" t="s">
        <v>147</v>
      </c>
      <c r="B24" s="38">
        <f>B4/B23</f>
        <v>0.69232100617319559</v>
      </c>
      <c r="C24" s="1"/>
    </row>
    <row r="25" spans="1:3" x14ac:dyDescent="0.35">
      <c r="A25" s="1"/>
      <c r="B25" s="1"/>
      <c r="C25" s="1"/>
    </row>
  </sheetData>
  <mergeCells count="4">
    <mergeCell ref="A1:C1"/>
    <mergeCell ref="A3:C3"/>
    <mergeCell ref="A9:B9"/>
    <mergeCell ref="A18:B18"/>
  </mergeCells>
  <conditionalFormatting sqref="B15">
    <cfRule type="expression" priority="1"/>
  </conditionalFormatting>
  <conditionalFormatting sqref="B24">
    <cfRule type="expression" priority="4"/>
  </conditionalFormatting>
  <pageMargins left="0.5" right="0.5" top="0.5" bottom="0.5" header="0.25" footer="0.25"/>
  <pageSetup paperSize="0" scale="0" orientation="landscape" horizontalDpi="0" verticalDpi="0" copies="0"/>
  <headerFooter>
    <oddHeader>&amp;LBayOne Solutions — Confidential&amp;C&amp;A</oddHeader>
    <oddFooter>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2a56a8-1e2b-4779-8805-0cbb9698b9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68696FB4DCB44B1B65C35126AC69C" ma:contentTypeVersion="10" ma:contentTypeDescription="Create a new document." ma:contentTypeScope="" ma:versionID="bfbfb90771df12f17674b9d5bd606020">
  <xsd:schema xmlns:xsd="http://www.w3.org/2001/XMLSchema" xmlns:xs="http://www.w3.org/2001/XMLSchema" xmlns:p="http://schemas.microsoft.com/office/2006/metadata/properties" xmlns:ns3="282a56a8-1e2b-4779-8805-0cbb9698b901" targetNamespace="http://schemas.microsoft.com/office/2006/metadata/properties" ma:root="true" ma:fieldsID="76904fa1c47a4dd66bd6d5b50c4fd911" ns3:_="">
    <xsd:import namespace="282a56a8-1e2b-4779-8805-0cbb9698b9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2a56a8-1e2b-4779-8805-0cbb9698b9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BDC92A-BE04-446D-9B0C-BA6E9B5D39FF}">
  <ds:schemaRefs>
    <ds:schemaRef ds:uri="http://www.w3.org/XML/1998/namespace"/>
    <ds:schemaRef ds:uri="http://purl.org/dc/terms/"/>
    <ds:schemaRef ds:uri="282a56a8-1e2b-4779-8805-0cbb9698b901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BC81BFE-81F8-4D38-B40C-28BC468A78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2CF0A7-51CA-4E5D-9596-E2261801ED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2a56a8-1e2b-4779-8805-0cbb9698b9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Inputs</vt:lpstr>
      <vt:lpstr>Scenario A</vt:lpstr>
      <vt:lpstr>Scenario B</vt:lpstr>
      <vt:lpstr>Discount Analysis</vt:lpstr>
      <vt:lpstr>Comparison</vt:lpstr>
      <vt:lpstr>Throughput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Moore</dc:creator>
  <cp:lastModifiedBy>Colin Moore</cp:lastModifiedBy>
  <dcterms:created xsi:type="dcterms:W3CDTF">2026-03-28T07:20:14Z</dcterms:created>
  <dcterms:modified xsi:type="dcterms:W3CDTF">2026-03-28T20:52:32Z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0x01010007C68696FB4DCB44B1B65C35126AC69C</vt:lpwstr>
  </property>
</Properties>
</file>